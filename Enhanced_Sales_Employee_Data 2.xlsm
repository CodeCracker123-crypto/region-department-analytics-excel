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Kaif\Documents\"/>
    </mc:Choice>
  </mc:AlternateContent>
  <xr:revisionPtr revIDLastSave="0" documentId="8_{A866F033-52DA-4439-B7A7-6ECE8C320B4D}" xr6:coauthVersionLast="47" xr6:coauthVersionMax="47" xr10:uidLastSave="{00000000-0000-0000-0000-000000000000}"/>
  <bookViews>
    <workbookView xWindow="-120" yWindow="-120" windowWidth="20730" windowHeight="11160" xr2:uid="{00000000-000D-0000-FFFF-FFFF00000000}"/>
  </bookViews>
  <sheets>
    <sheet name="Dashboard" sheetId="6" r:id="rId1"/>
    <sheet name="Sheet1" sheetId="1" r:id="rId2"/>
  </sheets>
  <definedNames>
    <definedName name="Slicer_Employment_Status">#N/A</definedName>
    <definedName name="Slicer_Region">#N/A</definedName>
  </definedNames>
  <calcPr calcId="124519"/>
  <pivotCaches>
    <pivotCache cacheId="16"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Lst>
</workbook>
</file>

<file path=xl/sharedStrings.xml><?xml version="1.0" encoding="utf-8"?>
<sst xmlns="http://schemas.openxmlformats.org/spreadsheetml/2006/main" count="285" uniqueCount="129">
  <si>
    <t>Employee ID</t>
  </si>
  <si>
    <t>Customer Name</t>
  </si>
  <si>
    <t>Salary</t>
  </si>
  <si>
    <t>Sales Amount</t>
  </si>
  <si>
    <t>Region</t>
  </si>
  <si>
    <t>Sales Date</t>
  </si>
  <si>
    <t>Department</t>
  </si>
  <si>
    <t>Bonus</t>
  </si>
  <si>
    <t>Employment Status</t>
  </si>
  <si>
    <t>E1000</t>
  </si>
  <si>
    <t>E1001</t>
  </si>
  <si>
    <t>E1002</t>
  </si>
  <si>
    <t>E1003</t>
  </si>
  <si>
    <t>E1004</t>
  </si>
  <si>
    <t>E1005</t>
  </si>
  <si>
    <t>E1006</t>
  </si>
  <si>
    <t>E1007</t>
  </si>
  <si>
    <t>E1008</t>
  </si>
  <si>
    <t>E1009</t>
  </si>
  <si>
    <t>E1010</t>
  </si>
  <si>
    <t>E1011</t>
  </si>
  <si>
    <t>E1012</t>
  </si>
  <si>
    <t>E1013</t>
  </si>
  <si>
    <t>E1014</t>
  </si>
  <si>
    <t>E1015</t>
  </si>
  <si>
    <t>E1016</t>
  </si>
  <si>
    <t>E1017</t>
  </si>
  <si>
    <t>E1018</t>
  </si>
  <si>
    <t>E1019</t>
  </si>
  <si>
    <t>E1020</t>
  </si>
  <si>
    <t>E1021</t>
  </si>
  <si>
    <t>E1022</t>
  </si>
  <si>
    <t>E1023</t>
  </si>
  <si>
    <t>E1024</t>
  </si>
  <si>
    <t>E1025</t>
  </si>
  <si>
    <t>E1026</t>
  </si>
  <si>
    <t>E1027</t>
  </si>
  <si>
    <t>E1028</t>
  </si>
  <si>
    <t>E1029</t>
  </si>
  <si>
    <t>E1030</t>
  </si>
  <si>
    <t>E1031</t>
  </si>
  <si>
    <t>E1032</t>
  </si>
  <si>
    <t>E1033</t>
  </si>
  <si>
    <t>E1034</t>
  </si>
  <si>
    <t>E1035</t>
  </si>
  <si>
    <t>E1036</t>
  </si>
  <si>
    <t>E1037</t>
  </si>
  <si>
    <t>E1038</t>
  </si>
  <si>
    <t>E1039</t>
  </si>
  <si>
    <t>E1040</t>
  </si>
  <si>
    <t>E1041</t>
  </si>
  <si>
    <t>E1042</t>
  </si>
  <si>
    <t>E1043</t>
  </si>
  <si>
    <t>E1044</t>
  </si>
  <si>
    <t>E1045</t>
  </si>
  <si>
    <t>E1046</t>
  </si>
  <si>
    <t>E1047</t>
  </si>
  <si>
    <t>E1048</t>
  </si>
  <si>
    <t>E1049</t>
  </si>
  <si>
    <t>Elizabeth Burton</t>
  </si>
  <si>
    <t>Craig Wilson</t>
  </si>
  <si>
    <t>Alan Gross</t>
  </si>
  <si>
    <t>Brian Johnson</t>
  </si>
  <si>
    <t>Heather Sanchez</t>
  </si>
  <si>
    <t>Ashley Johnson</t>
  </si>
  <si>
    <t>Jonathan Cook</t>
  </si>
  <si>
    <t>Barbara Atkins</t>
  </si>
  <si>
    <t>Diane Smith</t>
  </si>
  <si>
    <t>Dana Sanchez</t>
  </si>
  <si>
    <t>Steven Willis</t>
  </si>
  <si>
    <t>Jared Ellis</t>
  </si>
  <si>
    <t>Debra Howard</t>
  </si>
  <si>
    <t>Eric Mcconnell</t>
  </si>
  <si>
    <t>Morgan Coleman</t>
  </si>
  <si>
    <t>Anthony Mills</t>
  </si>
  <si>
    <t>Benjamin Cunningham</t>
  </si>
  <si>
    <t>Chad Rogers</t>
  </si>
  <si>
    <t>Susan Long</t>
  </si>
  <si>
    <t>Hailey Burke</t>
  </si>
  <si>
    <t>Andre Crawford</t>
  </si>
  <si>
    <t>Diamond James</t>
  </si>
  <si>
    <t>Michelle Sherman</t>
  </si>
  <si>
    <t>Steven Ward</t>
  </si>
  <si>
    <t>James Guzman</t>
  </si>
  <si>
    <t>Patrick Estrada</t>
  </si>
  <si>
    <t>Tiffany Myers</t>
  </si>
  <si>
    <t>Mark Hernandez</t>
  </si>
  <si>
    <t>Wayne Flores</t>
  </si>
  <si>
    <t>Joseph Thomas</t>
  </si>
  <si>
    <t>Dustin Taylor</t>
  </si>
  <si>
    <t>Angela Berry</t>
  </si>
  <si>
    <t>Erin Robinson</t>
  </si>
  <si>
    <t>Katherine Kline</t>
  </si>
  <si>
    <t>Christopher Smith</t>
  </si>
  <si>
    <t>Amanda Steele</t>
  </si>
  <si>
    <t>Amy Tyler</t>
  </si>
  <si>
    <t>Eddie Moore</t>
  </si>
  <si>
    <t>Cindy Smith</t>
  </si>
  <si>
    <t>Theresa Bush</t>
  </si>
  <si>
    <t>Danielle Johnson</t>
  </si>
  <si>
    <t>Amber Sanchez</t>
  </si>
  <si>
    <t>Beth Goodman</t>
  </si>
  <si>
    <t>Daniel Huff</t>
  </si>
  <si>
    <t>David Graham</t>
  </si>
  <si>
    <t>Lauren Gomez</t>
  </si>
  <si>
    <t>Lisa Hughes</t>
  </si>
  <si>
    <t>Jose Sullivan</t>
  </si>
  <si>
    <t>Adam Gonzalez</t>
  </si>
  <si>
    <t>Elizabeth Banks</t>
  </si>
  <si>
    <t>West</t>
  </si>
  <si>
    <t>East</t>
  </si>
  <si>
    <t>North</t>
  </si>
  <si>
    <t>South</t>
  </si>
  <si>
    <t>HR</t>
  </si>
  <si>
    <t>Finance</t>
  </si>
  <si>
    <t>IT</t>
  </si>
  <si>
    <t>Marketing</t>
  </si>
  <si>
    <t>Sales</t>
  </si>
  <si>
    <t>On Leave</t>
  </si>
  <si>
    <t>Resigned</t>
  </si>
  <si>
    <t>Active</t>
  </si>
  <si>
    <t>Row Labels</t>
  </si>
  <si>
    <t>Sum of Sales Amount</t>
  </si>
  <si>
    <t>Average of Salary</t>
  </si>
  <si>
    <t>Feb</t>
  </si>
  <si>
    <t>Mar</t>
  </si>
  <si>
    <t>Apr</t>
  </si>
  <si>
    <t>Sum of Bonus</t>
  </si>
  <si>
    <t xml:space="preserve">Department &amp; Region Analytics Dashboard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</si>
</sst>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5" x14ac:knownFonts="1">
    <font>
      <sz val="11"/>
      <color theme="1"/>
      <name val="Calibri"/>
      <family val="2"/>
      <scheme val="minor"/>
    </font>
    <font>
      <b/>
      <sz val="11"/>
      <color theme="1"/>
      <name val="Calibri"/>
      <family val="2"/>
      <scheme val="minor"/>
    </font>
    <font>
      <sz val="8"/>
      <name val="Segoe UI"/>
      <family val="2"/>
    </font>
    <font>
      <b/>
      <sz val="36"/>
      <color theme="1"/>
      <name val="Times New Roman"/>
      <family val="1"/>
    </font>
    <font>
      <sz val="36"/>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4"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2">
    <xf numFmtId="0" fontId="0" fillId="0" borderId="0" xfId="0"/>
    <xf numFmtId="0" fontId="0" fillId="2" borderId="0" xfId="0" applyFill="1"/>
    <xf numFmtId="0" fontId="0" fillId="2" borderId="0" xfId="0" applyFill="1" applyBorder="1"/>
    <xf numFmtId="0" fontId="0" fillId="0" borderId="0" xfId="0" applyBorder="1"/>
    <xf numFmtId="0" fontId="0" fillId="4" borderId="0" xfId="0" applyFill="1"/>
    <xf numFmtId="0" fontId="0" fillId="4" borderId="0" xfId="0" applyFill="1" applyAlignment="1">
      <alignment horizontal="left"/>
    </xf>
    <xf numFmtId="0" fontId="0" fillId="4" borderId="0" xfId="0" applyNumberFormat="1" applyFill="1"/>
    <xf numFmtId="0" fontId="3" fillId="4" borderId="0" xfId="0" applyFont="1" applyFill="1" applyAlignment="1">
      <alignment horizontal="center" vertical="center"/>
    </xf>
    <xf numFmtId="0" fontId="4" fillId="4" borderId="0" xfId="0" applyFont="1" applyFill="1" applyAlignment="1">
      <alignment horizontal="center" vertical="center"/>
    </xf>
    <xf numFmtId="0" fontId="1" fillId="4" borderId="1" xfId="0" applyFont="1" applyFill="1" applyBorder="1" applyAlignment="1">
      <alignment horizontal="center" vertical="center"/>
    </xf>
    <xf numFmtId="0" fontId="0" fillId="3" borderId="1" xfId="0" applyFill="1" applyBorder="1" applyAlignment="1">
      <alignment horizontal="center" vertical="center"/>
    </xf>
    <xf numFmtId="164" fontId="0" fillId="3" borderId="1" xfId="0" applyNumberFormat="1" applyFill="1" applyBorder="1" applyAlignment="1">
      <alignment horizontal="center" vertical="center"/>
    </xf>
  </cellXfs>
  <cellStyles count="1">
    <cellStyle name="Normal" xfId="0" builtinId="0"/>
  </cellStyles>
  <dxfs count="124">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bottom/>
      </border>
    </dxf>
    <dxf>
      <border>
        <bottom/>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0"/>
        </patternFill>
      </fill>
    </dxf>
    <dxf>
      <fill>
        <patternFill patternType="solid">
          <bgColor theme="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patternType="solid">
          <bgColor theme="0"/>
        </patternFill>
      </fill>
    </dxf>
    <dxf>
      <fill>
        <patternFill patternType="solid">
          <bgColor theme="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bottom/>
      </border>
    </dxf>
    <dxf>
      <border>
        <bottom/>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0"/>
        </patternFill>
      </fill>
    </dxf>
    <dxf>
      <fill>
        <patternFill patternType="solid">
          <bgColor theme="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patternType="solid">
          <bgColor theme="0"/>
        </patternFill>
      </fill>
    </dxf>
    <dxf>
      <fill>
        <patternFill patternType="solid">
          <bgColor theme="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bottom/>
      </border>
    </dxf>
    <dxf>
      <border>
        <bottom/>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0"/>
        </patternFill>
      </fill>
    </dxf>
    <dxf>
      <fill>
        <patternFill patternType="solid">
          <bgColor theme="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patternType="solid">
          <bgColor theme="0"/>
        </patternFill>
      </fill>
    </dxf>
    <dxf>
      <fill>
        <patternFill patternType="solid">
          <bgColor theme="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border>
        <bottom/>
      </border>
    </dxf>
    <dxf>
      <border>
        <bottom/>
      </border>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[Enhanced_Sales_Employee_Data 2.xlsm]Dashboard!PivotTable5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Dashboard!$B$4</c:f>
              <c:strCache>
                <c:ptCount val="1"/>
                <c:pt idx="0">
                  <c:v>Total</c:v>
                </c:pt>
              </c:strCache>
            </c:strRef>
          </c:tx>
          <c:spPr>
            <a:solidFill>
              <a:schemeClr val="accent1"/>
            </a:solidFill>
            <a:ln>
              <a:noFill/>
            </a:ln>
            <a:effectLst/>
          </c:spPr>
          <c:invertIfNegative val="0"/>
          <c:cat>
            <c:strRef>
              <c:f>Dashboard!$A$5</c:f>
              <c:strCache>
                <c:ptCount val="1"/>
                <c:pt idx="0">
                  <c:v>North</c:v>
                </c:pt>
              </c:strCache>
            </c:strRef>
          </c:cat>
          <c:val>
            <c:numRef>
              <c:f>Dashboard!$B$5</c:f>
              <c:numCache>
                <c:formatCode>General</c:formatCode>
                <c:ptCount val="1"/>
                <c:pt idx="0">
                  <c:v>15516</c:v>
                </c:pt>
              </c:numCache>
            </c:numRef>
          </c:val>
          <c:extLst>
            <c:ext xmlns:c16="http://schemas.microsoft.com/office/drawing/2014/chart" uri="{C3380CC4-5D6E-409C-BE32-E72D297353CC}">
              <c16:uniqueId val="{00000000-AE87-4366-8300-36F173423DAE}"/>
            </c:ext>
          </c:extLst>
        </c:ser>
        <c:dLbls>
          <c:showLegendKey val="0"/>
          <c:showVal val="0"/>
          <c:showCatName val="0"/>
          <c:showSerName val="0"/>
          <c:showPercent val="0"/>
          <c:showBubbleSize val="0"/>
        </c:dLbls>
        <c:gapWidth val="219"/>
        <c:overlap val="-27"/>
        <c:axId val="1978498640"/>
        <c:axId val="1978477040"/>
      </c:barChart>
      <c:catAx>
        <c:axId val="1978498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978477040"/>
        <c:crosses val="autoZero"/>
        <c:auto val="1"/>
        <c:lblAlgn val="ctr"/>
        <c:lblOffset val="100"/>
        <c:noMultiLvlLbl val="0"/>
      </c:catAx>
      <c:valAx>
        <c:axId val="19784770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97849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[Enhanced_Sales_Employee_Data 2.xlsm]Dashboard!PivotTable6</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PK"/>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Dashboard!$E$4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PK"/>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Dashboard!$D$5:$D$9</c:f>
              <c:strCache>
                <c:ptCount val="5"/>
                <c:pt idx="0">
                  <c:v>E1006</c:v>
                </c:pt>
                <c:pt idx="1">
                  <c:v>E1028</c:v>
                </c:pt>
                <c:pt idx="2">
                  <c:v>E1030</c:v>
                </c:pt>
                <c:pt idx="3">
                  <c:v>E1037</c:v>
                </c:pt>
                <c:pt idx="4">
                  <c:v>E1045</c:v>
                </c:pt>
              </c:strCache>
            </c:strRef>
          </c:cat>
          <c:val>
            <c:numRef>
              <c:f>Dashboard!$E$5:$E$9</c:f>
              <c:numCache>
                <c:formatCode>General</c:formatCode>
                <c:ptCount val="5"/>
                <c:pt idx="0">
                  <c:v>69844</c:v>
                </c:pt>
                <c:pt idx="1">
                  <c:v>69074</c:v>
                </c:pt>
                <c:pt idx="2">
                  <c:v>52160</c:v>
                </c:pt>
                <c:pt idx="3">
                  <c:v>45414</c:v>
                </c:pt>
                <c:pt idx="4">
                  <c:v>79024</c:v>
                </c:pt>
              </c:numCache>
            </c:numRef>
          </c:val>
          <c:extLst>
            <c:ext xmlns:c16="http://schemas.microsoft.com/office/drawing/2014/chart" uri="{C3380CC4-5D6E-409C-BE32-E72D297353CC}">
              <c16:uniqueId val="{00000000-EF75-41D2-8843-10E39E4AACC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P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[Enhanced_Sales_Employee_Data 2.xlsm]Dashboard!PivotTable7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Dashboard!$H$5</c:f>
              <c:strCache>
                <c:ptCount val="1"/>
                <c:pt idx="0">
                  <c:v>Total</c:v>
                </c:pt>
              </c:strCache>
            </c:strRef>
          </c:tx>
          <c:spPr>
            <a:solidFill>
              <a:schemeClr val="accent1"/>
            </a:solidFill>
            <a:ln>
              <a:noFill/>
            </a:ln>
            <a:effectLst/>
          </c:spPr>
          <c:invertIfNegative val="0"/>
          <c:cat>
            <c:strRef>
              <c:f>Dashboard!$G$6:$G$10</c:f>
              <c:strCache>
                <c:ptCount val="5"/>
                <c:pt idx="0">
                  <c:v>Dustin Taylor</c:v>
                </c:pt>
                <c:pt idx="1">
                  <c:v>Eddie Moore</c:v>
                </c:pt>
                <c:pt idx="2">
                  <c:v>Jonathan Cook</c:v>
                </c:pt>
                <c:pt idx="3">
                  <c:v>Lauren Gomez</c:v>
                </c:pt>
                <c:pt idx="4">
                  <c:v>Wayne Flores</c:v>
                </c:pt>
              </c:strCache>
            </c:strRef>
          </c:cat>
          <c:val>
            <c:numRef>
              <c:f>Dashboard!$H$6:$H$10</c:f>
              <c:numCache>
                <c:formatCode>General</c:formatCode>
                <c:ptCount val="5"/>
                <c:pt idx="0">
                  <c:v>4379</c:v>
                </c:pt>
                <c:pt idx="1">
                  <c:v>677</c:v>
                </c:pt>
                <c:pt idx="2">
                  <c:v>2889</c:v>
                </c:pt>
                <c:pt idx="3">
                  <c:v>4728</c:v>
                </c:pt>
                <c:pt idx="4">
                  <c:v>2843</c:v>
                </c:pt>
              </c:numCache>
            </c:numRef>
          </c:val>
          <c:extLst>
            <c:ext xmlns:c16="http://schemas.microsoft.com/office/drawing/2014/chart" uri="{C3380CC4-5D6E-409C-BE32-E72D297353CC}">
              <c16:uniqueId val="{00000000-4DA6-4818-ADFA-94A92676B410}"/>
            </c:ext>
          </c:extLst>
        </c:ser>
        <c:dLbls>
          <c:showLegendKey val="0"/>
          <c:showVal val="0"/>
          <c:showCatName val="0"/>
          <c:showSerName val="0"/>
          <c:showPercent val="0"/>
          <c:showBubbleSize val="0"/>
        </c:dLbls>
        <c:gapWidth val="182"/>
        <c:axId val="2005238048"/>
        <c:axId val="2005231328"/>
      </c:barChart>
      <c:catAx>
        <c:axId val="2005238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2005231328"/>
        <c:crosses val="autoZero"/>
        <c:auto val="1"/>
        <c:lblAlgn val="ctr"/>
        <c:lblOffset val="100"/>
        <c:noMultiLvlLbl val="0"/>
      </c:catAx>
      <c:valAx>
        <c:axId val="2005231328"/>
        <c:scaling>
          <c:orientation val="minMax"/>
        </c:scaling>
        <c:delete val="1"/>
        <c:axPos val="b"/>
        <c:numFmt formatCode="General" sourceLinked="1"/>
        <c:majorTickMark val="none"/>
        <c:minorTickMark val="none"/>
        <c:tickLblPos val="nextTo"/>
        <c:crossAx val="200523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[Enhanced_Sales_Employee_Data 2.xlsm]Dashboard!PivotTable8</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Dashboard!$K$5</c:f>
              <c:strCache>
                <c:ptCount val="1"/>
                <c:pt idx="0">
                  <c:v>Total</c:v>
                </c:pt>
              </c:strCache>
            </c:strRef>
          </c:tx>
          <c:spPr>
            <a:ln w="28575" cap="rnd">
              <a:solidFill>
                <a:schemeClr val="accent1"/>
              </a:solidFill>
              <a:round/>
            </a:ln>
            <a:effectLst/>
          </c:spPr>
          <c:marker>
            <c:symbol val="none"/>
          </c:marker>
          <c:cat>
            <c:strRef>
              <c:f>Dashboard!$J$6:$J$8</c:f>
              <c:strCache>
                <c:ptCount val="3"/>
                <c:pt idx="0">
                  <c:v>Feb</c:v>
                </c:pt>
                <c:pt idx="1">
                  <c:v>Mar</c:v>
                </c:pt>
                <c:pt idx="2">
                  <c:v>Apr</c:v>
                </c:pt>
              </c:strCache>
            </c:strRef>
          </c:cat>
          <c:val>
            <c:numRef>
              <c:f>Dashboard!$K$6:$K$8</c:f>
              <c:numCache>
                <c:formatCode>General</c:formatCode>
                <c:ptCount val="3"/>
                <c:pt idx="0">
                  <c:v>3566</c:v>
                </c:pt>
                <c:pt idx="1">
                  <c:v>4379</c:v>
                </c:pt>
                <c:pt idx="2">
                  <c:v>7571</c:v>
                </c:pt>
              </c:numCache>
            </c:numRef>
          </c:val>
          <c:smooth val="0"/>
          <c:extLst>
            <c:ext xmlns:c16="http://schemas.microsoft.com/office/drawing/2014/chart" uri="{C3380CC4-5D6E-409C-BE32-E72D297353CC}">
              <c16:uniqueId val="{00000000-E04F-44A3-A99F-1FC902629285}"/>
            </c:ext>
          </c:extLst>
        </c:ser>
        <c:dLbls>
          <c:showLegendKey val="0"/>
          <c:showVal val="0"/>
          <c:showCatName val="0"/>
          <c:showSerName val="0"/>
          <c:showPercent val="0"/>
          <c:showBubbleSize val="0"/>
        </c:dLbls>
        <c:smooth val="0"/>
        <c:axId val="1978492880"/>
        <c:axId val="1978497680"/>
      </c:lineChart>
      <c:catAx>
        <c:axId val="1978492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978497680"/>
        <c:crosses val="autoZero"/>
        <c:auto val="1"/>
        <c:lblAlgn val="ctr"/>
        <c:lblOffset val="100"/>
        <c:noMultiLvlLbl val="0"/>
      </c:catAx>
      <c:valAx>
        <c:axId val="19784976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978492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[Enhanced_Sales_Employee_Data 2.xlsm]Dashboard!PivotTable9</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Dashboard!$N$5</c:f>
              <c:strCache>
                <c:ptCount val="1"/>
                <c:pt idx="0">
                  <c:v>Total</c:v>
                </c:pt>
              </c:strCache>
            </c:strRef>
          </c:tx>
          <c:spPr>
            <a:solidFill>
              <a:schemeClr val="accent1"/>
            </a:solidFill>
            <a:ln>
              <a:noFill/>
            </a:ln>
            <a:effectLst/>
          </c:spPr>
          <c:invertIfNegative val="0"/>
          <c:cat>
            <c:strRef>
              <c:f>Dashboard!$M$6:$M$8</c:f>
              <c:strCache>
                <c:ptCount val="3"/>
                <c:pt idx="0">
                  <c:v>Finance</c:v>
                </c:pt>
                <c:pt idx="1">
                  <c:v>HR</c:v>
                </c:pt>
                <c:pt idx="2">
                  <c:v>Marketing</c:v>
                </c:pt>
              </c:strCache>
            </c:strRef>
          </c:cat>
          <c:val>
            <c:numRef>
              <c:f>Dashboard!$N$6:$N$8</c:f>
              <c:numCache>
                <c:formatCode>General</c:formatCode>
                <c:ptCount val="3"/>
                <c:pt idx="0">
                  <c:v>3835</c:v>
                </c:pt>
                <c:pt idx="1">
                  <c:v>5511</c:v>
                </c:pt>
                <c:pt idx="2">
                  <c:v>22557</c:v>
                </c:pt>
              </c:numCache>
            </c:numRef>
          </c:val>
          <c:extLst>
            <c:ext xmlns:c16="http://schemas.microsoft.com/office/drawing/2014/chart" uri="{C3380CC4-5D6E-409C-BE32-E72D297353CC}">
              <c16:uniqueId val="{00000000-F6C0-48DD-861F-FE2C5689965B}"/>
            </c:ext>
          </c:extLst>
        </c:ser>
        <c:dLbls>
          <c:showLegendKey val="0"/>
          <c:showVal val="0"/>
          <c:showCatName val="0"/>
          <c:showSerName val="0"/>
          <c:showPercent val="0"/>
          <c:showBubbleSize val="0"/>
        </c:dLbls>
        <c:gapWidth val="219"/>
        <c:overlap val="-27"/>
        <c:axId val="37446080"/>
        <c:axId val="37438400"/>
      </c:barChart>
      <c:catAx>
        <c:axId val="374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37438400"/>
        <c:crosses val="autoZero"/>
        <c:auto val="1"/>
        <c:lblAlgn val="ctr"/>
        <c:lblOffset val="100"/>
        <c:noMultiLvlLbl val="0"/>
      </c:catAx>
      <c:valAx>
        <c:axId val="374384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37446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2" lockText="1" noThreeD="1"/>
</file>

<file path=xl/ctrlProps/ctrlProp2.xml><?xml version="1.0" encoding="utf-8"?>
<formControlPr xmlns="http://schemas.microsoft.com/office/spreadsheetml/2009/9/main" objectType="CheckBox" checked="Checked" fmlaLink="$G$2" lockText="1" noThreeD="1"/>
</file>

<file path=xl/ctrlProps/ctrlProp3.xml><?xml version="1.0" encoding="utf-8"?>
<formControlPr xmlns="http://schemas.microsoft.com/office/spreadsheetml/2009/9/main" objectType="CheckBox" checked="Checked" fmlaLink="$J$2" lockText="1" noThreeD="1"/>
</file>

<file path=xl/ctrlProps/ctrlProp4.xml><?xml version="1.0" encoding="utf-8"?>
<formControlPr xmlns="http://schemas.microsoft.com/office/spreadsheetml/2009/9/main" objectType="CheckBox" checked="Checked" fmlaLink="$M$2" lockText="1" noThreeD="1"/>
</file>

<file path=xl/ctrlProps/ctrlProp5.xml><?xml version="1.0" encoding="utf-8"?>
<formControlPr xmlns="http://schemas.microsoft.com/office/spreadsheetml/2009/9/main" objectType="CheckBox" fmlaLink="$A$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21403</xdr:colOff>
      <xdr:row>11</xdr:row>
      <xdr:rowOff>43023</xdr:rowOff>
    </xdr:from>
    <xdr:to>
      <xdr:col>2</xdr:col>
      <xdr:colOff>214044</xdr:colOff>
      <xdr:row>21</xdr:row>
      <xdr:rowOff>192639</xdr:rowOff>
    </xdr:to>
    <xdr:graphicFrame macro="">
      <xdr:nvGraphicFramePr>
        <xdr:cNvPr id="2" name="Chart 1">
          <a:extLst>
            <a:ext uri="{FF2B5EF4-FFF2-40B4-BE49-F238E27FC236}">
              <a16:creationId xmlns:a16="http://schemas.microsoft.com/office/drawing/2014/main" id="{25B9276E-F682-54E6-21AB-C80B4EB8A6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517613</xdr:colOff>
      <xdr:row>11</xdr:row>
      <xdr:rowOff>53511</xdr:rowOff>
    </xdr:from>
    <xdr:to>
      <xdr:col>5</xdr:col>
      <xdr:colOff>322351</xdr:colOff>
      <xdr:row>22</xdr:row>
      <xdr:rowOff>32107</xdr:rowOff>
    </xdr:to>
    <xdr:graphicFrame macro="">
      <xdr:nvGraphicFramePr>
        <xdr:cNvPr id="3" name="Chart 2">
          <a:extLst>
            <a:ext uri="{FF2B5EF4-FFF2-40B4-BE49-F238E27FC236}">
              <a16:creationId xmlns:a16="http://schemas.microsoft.com/office/drawing/2014/main" id="{2971E3FA-67EB-4DB2-5C31-3DAE6F88CE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595312</xdr:colOff>
      <xdr:row>11</xdr:row>
      <xdr:rowOff>42809</xdr:rowOff>
    </xdr:from>
    <xdr:to>
      <xdr:col>8</xdr:col>
      <xdr:colOff>192639</xdr:colOff>
      <xdr:row>22</xdr:row>
      <xdr:rowOff>21405</xdr:rowOff>
    </xdr:to>
    <xdr:graphicFrame macro="">
      <xdr:nvGraphicFramePr>
        <xdr:cNvPr id="4" name="Chart 3">
          <a:extLst>
            <a:ext uri="{FF2B5EF4-FFF2-40B4-BE49-F238E27FC236}">
              <a16:creationId xmlns:a16="http://schemas.microsoft.com/office/drawing/2014/main" id="{3C756BDE-75C2-E76A-025C-23C4243038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405027</xdr:colOff>
      <xdr:row>11</xdr:row>
      <xdr:rowOff>66675</xdr:rowOff>
    </xdr:from>
    <xdr:to>
      <xdr:col>11</xdr:col>
      <xdr:colOff>160534</xdr:colOff>
      <xdr:row>22</xdr:row>
      <xdr:rowOff>0</xdr:rowOff>
    </xdr:to>
    <xdr:graphicFrame macro="">
      <xdr:nvGraphicFramePr>
        <xdr:cNvPr id="5" name="Chart 4">
          <a:extLst>
            <a:ext uri="{FF2B5EF4-FFF2-40B4-BE49-F238E27FC236}">
              <a16:creationId xmlns:a16="http://schemas.microsoft.com/office/drawing/2014/main" id="{F229C34E-81E3-636C-359B-4A42E7D1AE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454255</xdr:colOff>
      <xdr:row>11</xdr:row>
      <xdr:rowOff>20227</xdr:rowOff>
    </xdr:from>
    <xdr:to>
      <xdr:col>14</xdr:col>
      <xdr:colOff>395983</xdr:colOff>
      <xdr:row>21</xdr:row>
      <xdr:rowOff>181938</xdr:rowOff>
    </xdr:to>
    <xdr:graphicFrame macro="">
      <xdr:nvGraphicFramePr>
        <xdr:cNvPr id="6" name="Chart 5">
          <a:extLst>
            <a:ext uri="{FF2B5EF4-FFF2-40B4-BE49-F238E27FC236}">
              <a16:creationId xmlns:a16="http://schemas.microsoft.com/office/drawing/2014/main" id="{E4578CEA-30A0-6FDF-1D2D-2272835232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9</xdr:col>
      <xdr:colOff>665465</xdr:colOff>
      <xdr:row>1</xdr:row>
      <xdr:rowOff>139130</xdr:rowOff>
    </xdr:from>
    <xdr:to>
      <xdr:col>12</xdr:col>
      <xdr:colOff>738455</xdr:colOff>
      <xdr:row>1</xdr:row>
      <xdr:rowOff>582203</xdr:rowOff>
    </xdr:to>
    <mc:AlternateContent xmlns:mc="http://schemas.openxmlformats.org/markup-compatibility/2006">
      <mc:Choice xmlns:a14="http://schemas.microsoft.com/office/drawing/2010/main" Requires="a14">
        <xdr:graphicFrame macro="">
          <xdr:nvGraphicFramePr>
            <xdr:cNvPr id="9" name="Employment Status">
              <a:extLst>
                <a:ext uri="{FF2B5EF4-FFF2-40B4-BE49-F238E27FC236}">
                  <a16:creationId xmlns:a16="http://schemas.microsoft.com/office/drawing/2014/main" id="{84727EB9-ED0E-0C10-0ECA-D5C4DB424D33}"/>
                </a:ext>
              </a:extLst>
            </xdr:cNvPr>
            <xdr:cNvGraphicFramePr/>
          </xdr:nvGraphicFramePr>
          <xdr:xfrm>
            <a:off x="0" y="0"/>
            <a:ext cx="0" cy="0"/>
          </xdr:xfrm>
          <a:graphic>
            <a:graphicData uri="http://schemas.microsoft.com/office/drawing/2010/slicer">
              <sle:slicer xmlns:sle="http://schemas.microsoft.com/office/drawing/2010/slicer" name="Employment Status"/>
            </a:graphicData>
          </a:graphic>
        </xdr:graphicFrame>
      </mc:Choice>
      <mc:Fallback>
        <xdr:sp macro="" textlink="">
          <xdr:nvSpPr>
            <xdr:cNvPr id="0" name=""/>
            <xdr:cNvSpPr>
              <a:spLocks noTextEdit="1"/>
            </xdr:cNvSpPr>
          </xdr:nvSpPr>
          <xdr:spPr>
            <a:xfrm>
              <a:off x="9312881" y="1391293"/>
              <a:ext cx="3123130" cy="443073"/>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192641</xdr:colOff>
      <xdr:row>2</xdr:row>
      <xdr:rowOff>160534</xdr:rowOff>
    </xdr:from>
    <xdr:to>
      <xdr:col>1</xdr:col>
      <xdr:colOff>845478</xdr:colOff>
      <xdr:row>2</xdr:row>
      <xdr:rowOff>652838</xdr:rowOff>
    </xdr:to>
    <xdr:sp macro="" textlink="">
      <xdr:nvSpPr>
        <xdr:cNvPr id="10" name="Speech Bubble: Rectangle with Corners Rounded 9">
          <a:extLst>
            <a:ext uri="{FF2B5EF4-FFF2-40B4-BE49-F238E27FC236}">
              <a16:creationId xmlns:a16="http://schemas.microsoft.com/office/drawing/2014/main" id="{EF57DF13-7053-35DB-A784-A67AF5C30142}"/>
            </a:ext>
          </a:extLst>
        </xdr:cNvPr>
        <xdr:cNvSpPr/>
      </xdr:nvSpPr>
      <xdr:spPr>
        <a:xfrm>
          <a:off x="192641" y="781264"/>
          <a:ext cx="1551826" cy="49230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3</xdr:col>
      <xdr:colOff>0</xdr:colOff>
      <xdr:row>2</xdr:row>
      <xdr:rowOff>139129</xdr:rowOff>
    </xdr:from>
    <xdr:to>
      <xdr:col>4</xdr:col>
      <xdr:colOff>674242</xdr:colOff>
      <xdr:row>2</xdr:row>
      <xdr:rowOff>631433</xdr:rowOff>
    </xdr:to>
    <xdr:sp macro="" textlink="">
      <xdr:nvSpPr>
        <xdr:cNvPr id="11" name="Speech Bubble: Rectangle with Corners Rounded 10">
          <a:extLst>
            <a:ext uri="{FF2B5EF4-FFF2-40B4-BE49-F238E27FC236}">
              <a16:creationId xmlns:a16="http://schemas.microsoft.com/office/drawing/2014/main" id="{4544DB81-2427-47CD-92BA-EB2DFBA6A5DC}"/>
            </a:ext>
          </a:extLst>
        </xdr:cNvPr>
        <xdr:cNvSpPr/>
      </xdr:nvSpPr>
      <xdr:spPr>
        <a:xfrm>
          <a:off x="2846798" y="759859"/>
          <a:ext cx="1551826" cy="49230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6</xdr:col>
      <xdr:colOff>128427</xdr:colOff>
      <xdr:row>2</xdr:row>
      <xdr:rowOff>139129</xdr:rowOff>
    </xdr:from>
    <xdr:to>
      <xdr:col>7</xdr:col>
      <xdr:colOff>631432</xdr:colOff>
      <xdr:row>2</xdr:row>
      <xdr:rowOff>631433</xdr:rowOff>
    </xdr:to>
    <xdr:sp macro="" textlink="">
      <xdr:nvSpPr>
        <xdr:cNvPr id="12" name="Speech Bubble: Rectangle with Corners Rounded 11">
          <a:extLst>
            <a:ext uri="{FF2B5EF4-FFF2-40B4-BE49-F238E27FC236}">
              <a16:creationId xmlns:a16="http://schemas.microsoft.com/office/drawing/2014/main" id="{E2B1E859-3EFD-43D3-BAD3-71555B9E8E25}"/>
            </a:ext>
          </a:extLst>
        </xdr:cNvPr>
        <xdr:cNvSpPr/>
      </xdr:nvSpPr>
      <xdr:spPr>
        <a:xfrm>
          <a:off x="5554466" y="759859"/>
          <a:ext cx="1551826" cy="49230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9</xdr:col>
      <xdr:colOff>128427</xdr:colOff>
      <xdr:row>2</xdr:row>
      <xdr:rowOff>139129</xdr:rowOff>
    </xdr:from>
    <xdr:to>
      <xdr:col>10</xdr:col>
      <xdr:colOff>802669</xdr:colOff>
      <xdr:row>2</xdr:row>
      <xdr:rowOff>631433</xdr:rowOff>
    </xdr:to>
    <xdr:sp macro="" textlink="">
      <xdr:nvSpPr>
        <xdr:cNvPr id="13" name="Speech Bubble: Rectangle with Corners Rounded 12">
          <a:extLst>
            <a:ext uri="{FF2B5EF4-FFF2-40B4-BE49-F238E27FC236}">
              <a16:creationId xmlns:a16="http://schemas.microsoft.com/office/drawing/2014/main" id="{2A3E8ADC-4FF9-4FAE-A95B-D9D143248151}"/>
            </a:ext>
          </a:extLst>
        </xdr:cNvPr>
        <xdr:cNvSpPr/>
      </xdr:nvSpPr>
      <xdr:spPr>
        <a:xfrm>
          <a:off x="8551096" y="759859"/>
          <a:ext cx="1551826" cy="49230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11</xdr:col>
      <xdr:colOff>577922</xdr:colOff>
      <xdr:row>2</xdr:row>
      <xdr:rowOff>149832</xdr:rowOff>
    </xdr:from>
    <xdr:to>
      <xdr:col>13</xdr:col>
      <xdr:colOff>642136</xdr:colOff>
      <xdr:row>2</xdr:row>
      <xdr:rowOff>642136</xdr:rowOff>
    </xdr:to>
    <xdr:sp macro="" textlink="">
      <xdr:nvSpPr>
        <xdr:cNvPr id="14" name="Speech Bubble: Rectangle with Corners Rounded 13">
          <a:extLst>
            <a:ext uri="{FF2B5EF4-FFF2-40B4-BE49-F238E27FC236}">
              <a16:creationId xmlns:a16="http://schemas.microsoft.com/office/drawing/2014/main" id="{EB2C14B8-E05B-4DCF-AAD3-0B98DDFD6282}"/>
            </a:ext>
          </a:extLst>
        </xdr:cNvPr>
        <xdr:cNvSpPr/>
      </xdr:nvSpPr>
      <xdr:spPr>
        <a:xfrm>
          <a:off x="11215956" y="770562"/>
          <a:ext cx="1551826" cy="49230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3</xdr:col>
          <xdr:colOff>266700</xdr:colOff>
          <xdr:row>2</xdr:row>
          <xdr:rowOff>266700</xdr:rowOff>
        </xdr:from>
        <xdr:to>
          <xdr:col>3</xdr:col>
          <xdr:colOff>600075</xdr:colOff>
          <xdr:row>2</xdr:row>
          <xdr:rowOff>485775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Check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2</xdr:row>
          <xdr:rowOff>285750</xdr:rowOff>
        </xdr:from>
        <xdr:to>
          <xdr:col>6</xdr:col>
          <xdr:colOff>619125</xdr:colOff>
          <xdr:row>2</xdr:row>
          <xdr:rowOff>504825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Check Box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361950</xdr:colOff>
          <xdr:row>2</xdr:row>
          <xdr:rowOff>276225</xdr:rowOff>
        </xdr:from>
        <xdr:to>
          <xdr:col>9</xdr:col>
          <xdr:colOff>695325</xdr:colOff>
          <xdr:row>2</xdr:row>
          <xdr:rowOff>495300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Check Box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2</xdr:row>
          <xdr:rowOff>247650</xdr:rowOff>
        </xdr:from>
        <xdr:to>
          <xdr:col>12</xdr:col>
          <xdr:colOff>542925</xdr:colOff>
          <xdr:row>2</xdr:row>
          <xdr:rowOff>466725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Check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xdr:row>
          <xdr:rowOff>285750</xdr:rowOff>
        </xdr:from>
        <xdr:to>
          <xdr:col>0</xdr:col>
          <xdr:colOff>781050</xdr:colOff>
          <xdr:row>2</xdr:row>
          <xdr:rowOff>523875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Check Box 6</a:t>
              </a:r>
            </a:p>
          </xdr:txBody>
        </xdr:sp>
        <xdr:clientData/>
      </xdr:twoCellAnchor>
    </mc:Choice>
    <mc:Fallback/>
  </mc:AlternateContent>
  <xdr:twoCellAnchor editAs="oneCell">
    <xdr:from>
      <xdr:col>0</xdr:col>
      <xdr:colOff>733209</xdr:colOff>
      <xdr:row>1</xdr:row>
      <xdr:rowOff>145551</xdr:rowOff>
    </xdr:from>
    <xdr:to>
      <xdr:col>4</xdr:col>
      <xdr:colOff>995307</xdr:colOff>
      <xdr:row>1</xdr:row>
      <xdr:rowOff>620730</xdr:rowOff>
    </xdr:to>
    <mc:AlternateContent xmlns:mc="http://schemas.openxmlformats.org/markup-compatibility/2006">
      <mc:Choice xmlns:a14="http://schemas.microsoft.com/office/drawing/2010/main" Requires="a14">
        <xdr:graphicFrame macro="">
          <xdr:nvGraphicFramePr>
            <xdr:cNvPr id="17" name="Region">
              <a:extLst>
                <a:ext uri="{FF2B5EF4-FFF2-40B4-BE49-F238E27FC236}">
                  <a16:creationId xmlns:a16="http://schemas.microsoft.com/office/drawing/2014/main" id="{44F8D899-6359-D07B-3E95-F10EB6DD085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33209" y="1397714"/>
              <a:ext cx="4114907" cy="475179"/>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htar Khizar" refreshedDate="45852.888283101849" createdVersion="8" refreshedVersion="8" minRefreshableVersion="3" recordCount="50" xr:uid="{46433130-6D5B-458F-B228-B024A2C98758}">
  <cacheSource type="worksheet">
    <worksheetSource ref="A1:I51" sheet="Sheet1"/>
  </cacheSource>
  <cacheFields count="11">
    <cacheField name="Employee ID" numFmtId="0">
      <sharedItems count="50">
        <s v="E1000"/>
        <s v="E1001"/>
        <s v="E1002"/>
        <s v="E1003"/>
        <s v="E1004"/>
        <s v="E1005"/>
        <s v="E1006"/>
        <s v="E1007"/>
        <s v="E1008"/>
        <s v="E1009"/>
        <s v="E1010"/>
        <s v="E1011"/>
        <s v="E1012"/>
        <s v="E1013"/>
        <s v="E1014"/>
        <s v="E1015"/>
        <s v="E1016"/>
        <s v="E1017"/>
        <s v="E1018"/>
        <s v="E1019"/>
        <s v="E1020"/>
        <s v="E1021"/>
        <s v="E1022"/>
        <s v="E1023"/>
        <s v="E1024"/>
        <s v="E1025"/>
        <s v="E1026"/>
        <s v="E1027"/>
        <s v="E1028"/>
        <s v="E1029"/>
        <s v="E1030"/>
        <s v="E1031"/>
        <s v="E1032"/>
        <s v="E1033"/>
        <s v="E1034"/>
        <s v="E1035"/>
        <s v="E1036"/>
        <s v="E1037"/>
        <s v="E1038"/>
        <s v="E1039"/>
        <s v="E1040"/>
        <s v="E1041"/>
        <s v="E1042"/>
        <s v="E1043"/>
        <s v="E1044"/>
        <s v="E1045"/>
        <s v="E1046"/>
        <s v="E1047"/>
        <s v="E1048"/>
        <s v="E1049"/>
      </sharedItems>
    </cacheField>
    <cacheField name="Customer Name" numFmtId="0">
      <sharedItems count="50">
        <s v="Elizabeth Burton"/>
        <s v="Craig Wilson"/>
        <s v="Alan Gross"/>
        <s v="Brian Johnson"/>
        <s v="Heather Sanchez"/>
        <s v="Ashley Johnson"/>
        <s v="Jonathan Cook"/>
        <s v="Barbara Atkins"/>
        <s v="Diane Smith"/>
        <s v="Dana Sanchez"/>
        <s v="Steven Willis"/>
        <s v="Jared Ellis"/>
        <s v="Debra Howard"/>
        <s v="Eric Mcconnell"/>
        <s v="Morgan Coleman"/>
        <s v="Anthony Mills"/>
        <s v="Benjamin Cunningham"/>
        <s v="Chad Rogers"/>
        <s v="Susan Long"/>
        <s v="Hailey Burke"/>
        <s v="Andre Crawford"/>
        <s v="Diamond James"/>
        <s v="Michelle Sherman"/>
        <s v="Steven Ward"/>
        <s v="James Guzman"/>
        <s v="Patrick Estrada"/>
        <s v="Tiffany Myers"/>
        <s v="Mark Hernandez"/>
        <s v="Wayne Flores"/>
        <s v="Joseph Thomas"/>
        <s v="Dustin Taylor"/>
        <s v="Angela Berry"/>
        <s v="Erin Robinson"/>
        <s v="Katherine Kline"/>
        <s v="Christopher Smith"/>
        <s v="Amanda Steele"/>
        <s v="Amy Tyler"/>
        <s v="Eddie Moore"/>
        <s v="Cindy Smith"/>
        <s v="Theresa Bush"/>
        <s v="Danielle Johnson"/>
        <s v="Amber Sanchez"/>
        <s v="Beth Goodman"/>
        <s v="Daniel Huff"/>
        <s v="David Graham"/>
        <s v="Lauren Gomez"/>
        <s v="Lisa Hughes"/>
        <s v="Jose Sullivan"/>
        <s v="Adam Gonzalez"/>
        <s v="Elizabeth Banks"/>
      </sharedItems>
    </cacheField>
    <cacheField name="Salary" numFmtId="0">
      <sharedItems containsSemiMixedTypes="0" containsString="0" containsNumber="1" containsInteger="1" minValue="30599" maxValue="97114"/>
    </cacheField>
    <cacheField name="Sales Amount" numFmtId="0">
      <sharedItems containsString="0" containsBlank="1" containsNumber="1" containsInteger="1" minValue="510" maxValue="4997"/>
    </cacheField>
    <cacheField name="Region" numFmtId="0">
      <sharedItems containsBlank="1" count="5">
        <s v="West"/>
        <s v="East"/>
        <s v="North"/>
        <s v="South"/>
        <m/>
      </sharedItems>
    </cacheField>
    <cacheField name="Sales Date" numFmtId="164">
      <sharedItems containsSemiMixedTypes="0" containsNonDate="0" containsDate="1" containsString="0" minDate="2024-01-07T00:00:00" maxDate="2024-06-20T00:00:00" count="41">
        <d v="2024-06-03T00:00:00"/>
        <d v="2024-04-15T00:00:00"/>
        <d v="2024-04-27T00:00:00"/>
        <d v="2024-02-11T00:00:00"/>
        <d v="2024-03-26T00:00:00"/>
        <d v="2024-03-27T00:00:00"/>
        <d v="2024-02-25T00:00:00"/>
        <d v="2024-04-20T00:00:00"/>
        <d v="2024-02-16T00:00:00"/>
        <d v="2024-01-17T00:00:00"/>
        <d v="2024-03-06T00:00:00"/>
        <d v="2024-04-14T00:00:00"/>
        <d v="2024-06-19T00:00:00"/>
        <d v="2024-03-17T00:00:00"/>
        <d v="2024-02-19T00:00:00"/>
        <d v="2024-04-25T00:00:00"/>
        <d v="2024-01-20T00:00:00"/>
        <d v="2024-01-18T00:00:00"/>
        <d v="2024-01-21T00:00:00"/>
        <d v="2024-04-06T00:00:00"/>
        <d v="2024-01-07T00:00:00"/>
        <d v="2024-05-09T00:00:00"/>
        <d v="2024-06-07T00:00:00"/>
        <d v="2024-05-30T00:00:00"/>
        <d v="2024-03-10T00:00:00"/>
        <d v="2024-05-21T00:00:00"/>
        <d v="2024-06-14T00:00:00"/>
        <d v="2024-04-11T00:00:00"/>
        <d v="2024-04-29T00:00:00"/>
        <d v="2024-01-19T00:00:00"/>
        <d v="2024-05-19T00:00:00"/>
        <d v="2024-03-14T00:00:00"/>
        <d v="2024-06-11T00:00:00"/>
        <d v="2024-02-02T00:00:00"/>
        <d v="2024-04-26T00:00:00"/>
        <d v="2024-05-22T00:00:00"/>
        <d v="2024-02-04T00:00:00"/>
        <d v="2024-01-10T00:00:00"/>
        <d v="2024-02-26T00:00:00"/>
        <d v="2024-04-30T00:00:00"/>
        <d v="2024-05-12T00:00:00"/>
      </sharedItems>
      <fieldGroup par="10"/>
    </cacheField>
    <cacheField name="Department" numFmtId="0">
      <sharedItems count="5">
        <s v="HR"/>
        <s v="Finance"/>
        <s v="IT"/>
        <s v="Marketing"/>
        <s v="Sales"/>
      </sharedItems>
    </cacheField>
    <cacheField name="Bonus" numFmtId="0">
      <sharedItems containsSemiMixedTypes="0" containsString="0" containsNumber="1" containsInteger="1" minValue="2012" maxValue="18016"/>
    </cacheField>
    <cacheField name="Employment Status" numFmtId="0">
      <sharedItems count="3">
        <s v="On Leave"/>
        <s v="Resigned"/>
        <s v="Active"/>
      </sharedItems>
    </cacheField>
    <cacheField name="Days (Sales Date)" numFmtId="0" databaseField="0">
      <fieldGroup base="5">
        <rangePr groupBy="days" startDate="2024-01-07T00:00:00" endDate="2024-06-20T00:00:00"/>
        <groupItems count="368">
          <s v="&lt;07/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06/2024"/>
        </groupItems>
      </fieldGroup>
    </cacheField>
    <cacheField name="Months (Sales Date)" numFmtId="0" databaseField="0">
      <fieldGroup base="5">
        <rangePr groupBy="months" startDate="2024-01-07T00:00:00" endDate="2024-06-20T00:00:00"/>
        <groupItems count="14">
          <s v="&lt;07/01/2024"/>
          <s v="Jan"/>
          <s v="Feb"/>
          <s v="Mar"/>
          <s v="Apr"/>
          <s v="May"/>
          <s v="Jun"/>
          <s v="Jul"/>
          <s v="Aug"/>
          <s v="Sep"/>
          <s v="Oct"/>
          <s v="Nov"/>
          <s v="Dec"/>
          <s v="&gt;20/06/2024"/>
        </groupItems>
      </fieldGroup>
    </cacheField>
  </cacheFields>
  <extLst>
    <ext xmlns:x14="http://schemas.microsoft.com/office/spreadsheetml/2009/9/main" uri="{725AE2AE-9491-48be-B2B4-4EB974FC3084}">
      <x14:pivotCacheDefinition pivotCacheId="2074597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n v="83611"/>
    <n v="4835"/>
    <x v="0"/>
    <x v="0"/>
    <x v="0"/>
    <n v="9924"/>
    <x v="0"/>
  </r>
  <r>
    <x v="1"/>
    <x v="1"/>
    <n v="39823"/>
    <n v="2950"/>
    <x v="1"/>
    <x v="1"/>
    <x v="1"/>
    <n v="6637"/>
    <x v="1"/>
  </r>
  <r>
    <x v="2"/>
    <x v="2"/>
    <n v="53782"/>
    <n v="2807"/>
    <x v="2"/>
    <x v="2"/>
    <x v="2"/>
    <n v="5975"/>
    <x v="0"/>
  </r>
  <r>
    <x v="3"/>
    <x v="3"/>
    <n v="54217"/>
    <n v="2746"/>
    <x v="1"/>
    <x v="3"/>
    <x v="3"/>
    <n v="7187"/>
    <x v="2"/>
  </r>
  <r>
    <x v="4"/>
    <x v="4"/>
    <n v="88052"/>
    <m/>
    <x v="3"/>
    <x v="4"/>
    <x v="0"/>
    <n v="7275"/>
    <x v="1"/>
  </r>
  <r>
    <x v="5"/>
    <x v="5"/>
    <n v="32516"/>
    <n v="4997"/>
    <x v="1"/>
    <x v="5"/>
    <x v="1"/>
    <n v="2432"/>
    <x v="2"/>
  </r>
  <r>
    <x v="6"/>
    <x v="6"/>
    <n v="69844"/>
    <n v="2889"/>
    <x v="2"/>
    <x v="6"/>
    <x v="3"/>
    <n v="8290"/>
    <x v="2"/>
  </r>
  <r>
    <x v="7"/>
    <x v="7"/>
    <n v="46082"/>
    <n v="3503"/>
    <x v="2"/>
    <x v="7"/>
    <x v="2"/>
    <n v="7245"/>
    <x v="0"/>
  </r>
  <r>
    <x v="8"/>
    <x v="8"/>
    <n v="60589"/>
    <n v="3515"/>
    <x v="3"/>
    <x v="8"/>
    <x v="1"/>
    <n v="11607"/>
    <x v="2"/>
  </r>
  <r>
    <x v="9"/>
    <x v="9"/>
    <n v="62370"/>
    <n v="1989"/>
    <x v="2"/>
    <x v="9"/>
    <x v="3"/>
    <n v="7834"/>
    <x v="1"/>
  </r>
  <r>
    <x v="10"/>
    <x v="10"/>
    <n v="59131"/>
    <n v="3925"/>
    <x v="0"/>
    <x v="10"/>
    <x v="0"/>
    <n v="11341"/>
    <x v="0"/>
  </r>
  <r>
    <x v="11"/>
    <x v="11"/>
    <n v="60108"/>
    <n v="4767"/>
    <x v="0"/>
    <x v="11"/>
    <x v="4"/>
    <n v="9404"/>
    <x v="1"/>
  </r>
  <r>
    <x v="12"/>
    <x v="12"/>
    <n v="41334"/>
    <n v="4829"/>
    <x v="3"/>
    <x v="12"/>
    <x v="1"/>
    <n v="7647"/>
    <x v="0"/>
  </r>
  <r>
    <x v="13"/>
    <x v="13"/>
    <n v="92978"/>
    <n v="2344"/>
    <x v="0"/>
    <x v="13"/>
    <x v="1"/>
    <n v="5458"/>
    <x v="1"/>
  </r>
  <r>
    <x v="14"/>
    <x v="14"/>
    <n v="94001"/>
    <n v="3979"/>
    <x v="0"/>
    <x v="14"/>
    <x v="4"/>
    <n v="17631"/>
    <x v="2"/>
  </r>
  <r>
    <x v="15"/>
    <x v="15"/>
    <n v="63801"/>
    <n v="3196"/>
    <x v="3"/>
    <x v="15"/>
    <x v="2"/>
    <n v="3314"/>
    <x v="2"/>
  </r>
  <r>
    <x v="16"/>
    <x v="16"/>
    <n v="55444"/>
    <n v="2087"/>
    <x v="0"/>
    <x v="16"/>
    <x v="1"/>
    <n v="11069"/>
    <x v="0"/>
  </r>
  <r>
    <x v="17"/>
    <x v="17"/>
    <n v="65473"/>
    <n v="2283"/>
    <x v="3"/>
    <x v="11"/>
    <x v="4"/>
    <n v="8158"/>
    <x v="1"/>
  </r>
  <r>
    <x v="18"/>
    <x v="18"/>
    <n v="94441"/>
    <n v="2951"/>
    <x v="0"/>
    <x v="17"/>
    <x v="2"/>
    <n v="18016"/>
    <x v="1"/>
  </r>
  <r>
    <x v="19"/>
    <x v="19"/>
    <n v="37918"/>
    <n v="4056"/>
    <x v="1"/>
    <x v="18"/>
    <x v="4"/>
    <n v="7370"/>
    <x v="2"/>
  </r>
  <r>
    <x v="20"/>
    <x v="20"/>
    <n v="63871"/>
    <m/>
    <x v="4"/>
    <x v="19"/>
    <x v="0"/>
    <n v="11601"/>
    <x v="1"/>
  </r>
  <r>
    <x v="21"/>
    <x v="21"/>
    <n v="82445"/>
    <n v="1242"/>
    <x v="1"/>
    <x v="20"/>
    <x v="0"/>
    <n v="5632"/>
    <x v="1"/>
  </r>
  <r>
    <x v="22"/>
    <x v="22"/>
    <n v="51260"/>
    <n v="3164"/>
    <x v="1"/>
    <x v="21"/>
    <x v="0"/>
    <n v="7605"/>
    <x v="2"/>
  </r>
  <r>
    <x v="23"/>
    <x v="23"/>
    <n v="48836"/>
    <n v="4758"/>
    <x v="0"/>
    <x v="22"/>
    <x v="2"/>
    <n v="2925"/>
    <x v="1"/>
  </r>
  <r>
    <x v="24"/>
    <x v="24"/>
    <n v="36562"/>
    <m/>
    <x v="1"/>
    <x v="23"/>
    <x v="2"/>
    <n v="4537"/>
    <x v="0"/>
  </r>
  <r>
    <x v="25"/>
    <x v="25"/>
    <n v="97114"/>
    <n v="2560"/>
    <x v="0"/>
    <x v="24"/>
    <x v="0"/>
    <n v="8278"/>
    <x v="0"/>
  </r>
  <r>
    <x v="26"/>
    <x v="26"/>
    <n v="48424"/>
    <n v="2737"/>
    <x v="3"/>
    <x v="25"/>
    <x v="1"/>
    <n v="6789"/>
    <x v="0"/>
  </r>
  <r>
    <x v="27"/>
    <x v="27"/>
    <n v="50262"/>
    <n v="776"/>
    <x v="0"/>
    <x v="26"/>
    <x v="4"/>
    <n v="6750"/>
    <x v="1"/>
  </r>
  <r>
    <x v="28"/>
    <x v="28"/>
    <n v="69074"/>
    <n v="2843"/>
    <x v="2"/>
    <x v="27"/>
    <x v="1"/>
    <n v="3835"/>
    <x v="2"/>
  </r>
  <r>
    <x v="29"/>
    <x v="29"/>
    <n v="30599"/>
    <n v="2853"/>
    <x v="0"/>
    <x v="28"/>
    <x v="0"/>
    <n v="2012"/>
    <x v="2"/>
  </r>
  <r>
    <x v="30"/>
    <x v="30"/>
    <n v="52160"/>
    <n v="4379"/>
    <x v="2"/>
    <x v="24"/>
    <x v="0"/>
    <n v="5511"/>
    <x v="2"/>
  </r>
  <r>
    <x v="31"/>
    <x v="31"/>
    <n v="76626"/>
    <n v="3347"/>
    <x v="2"/>
    <x v="26"/>
    <x v="0"/>
    <n v="4806"/>
    <x v="0"/>
  </r>
  <r>
    <x v="32"/>
    <x v="32"/>
    <n v="31906"/>
    <n v="1394"/>
    <x v="1"/>
    <x v="29"/>
    <x v="0"/>
    <n v="2424"/>
    <x v="2"/>
  </r>
  <r>
    <x v="33"/>
    <x v="33"/>
    <n v="82290"/>
    <m/>
    <x v="3"/>
    <x v="3"/>
    <x v="3"/>
    <n v="5412"/>
    <x v="1"/>
  </r>
  <r>
    <x v="34"/>
    <x v="34"/>
    <n v="59002"/>
    <n v="3737"/>
    <x v="2"/>
    <x v="30"/>
    <x v="4"/>
    <n v="3760"/>
    <x v="1"/>
  </r>
  <r>
    <x v="35"/>
    <x v="35"/>
    <n v="35929"/>
    <n v="1854"/>
    <x v="0"/>
    <x v="31"/>
    <x v="3"/>
    <n v="3753"/>
    <x v="1"/>
  </r>
  <r>
    <x v="36"/>
    <x v="36"/>
    <n v="44553"/>
    <n v="3572"/>
    <x v="0"/>
    <x v="32"/>
    <x v="1"/>
    <n v="7559"/>
    <x v="1"/>
  </r>
  <r>
    <x v="37"/>
    <x v="37"/>
    <n v="45414"/>
    <n v="677"/>
    <x v="2"/>
    <x v="33"/>
    <x v="3"/>
    <n v="5510"/>
    <x v="2"/>
  </r>
  <r>
    <x v="38"/>
    <x v="38"/>
    <n v="70175"/>
    <n v="1857"/>
    <x v="0"/>
    <x v="34"/>
    <x v="3"/>
    <n v="8114"/>
    <x v="1"/>
  </r>
  <r>
    <x v="39"/>
    <x v="39"/>
    <n v="60936"/>
    <n v="510"/>
    <x v="1"/>
    <x v="35"/>
    <x v="0"/>
    <n v="7449"/>
    <x v="2"/>
  </r>
  <r>
    <x v="40"/>
    <x v="40"/>
    <n v="68004"/>
    <n v="812"/>
    <x v="4"/>
    <x v="36"/>
    <x v="2"/>
    <n v="9682"/>
    <x v="0"/>
  </r>
  <r>
    <x v="41"/>
    <x v="41"/>
    <n v="89312"/>
    <n v="812"/>
    <x v="3"/>
    <x v="37"/>
    <x v="4"/>
    <n v="14471"/>
    <x v="1"/>
  </r>
  <r>
    <x v="42"/>
    <x v="42"/>
    <n v="33133"/>
    <m/>
    <x v="1"/>
    <x v="20"/>
    <x v="1"/>
    <n v="2120"/>
    <x v="1"/>
  </r>
  <r>
    <x v="43"/>
    <x v="43"/>
    <n v="71381"/>
    <n v="4398"/>
    <x v="2"/>
    <x v="38"/>
    <x v="1"/>
    <n v="13103"/>
    <x v="1"/>
  </r>
  <r>
    <x v="44"/>
    <x v="44"/>
    <n v="56743"/>
    <n v="981"/>
    <x v="1"/>
    <x v="12"/>
    <x v="4"/>
    <n v="3262"/>
    <x v="0"/>
  </r>
  <r>
    <x v="45"/>
    <x v="45"/>
    <n v="79024"/>
    <n v="4728"/>
    <x v="2"/>
    <x v="34"/>
    <x v="3"/>
    <n v="8757"/>
    <x v="2"/>
  </r>
  <r>
    <x v="46"/>
    <x v="46"/>
    <n v="67301"/>
    <n v="1028"/>
    <x v="1"/>
    <x v="39"/>
    <x v="1"/>
    <n v="5482"/>
    <x v="1"/>
  </r>
  <r>
    <x v="47"/>
    <x v="47"/>
    <n v="94135"/>
    <m/>
    <x v="0"/>
    <x v="17"/>
    <x v="2"/>
    <n v="14667"/>
    <x v="2"/>
  </r>
  <r>
    <x v="48"/>
    <x v="48"/>
    <n v="70641"/>
    <n v="4376"/>
    <x v="2"/>
    <x v="40"/>
    <x v="4"/>
    <n v="4653"/>
    <x v="0"/>
  </r>
  <r>
    <x v="49"/>
    <x v="49"/>
    <n v="62447"/>
    <n v="773"/>
    <x v="3"/>
    <x v="0"/>
    <x v="2"/>
    <n v="3257"/>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A117CD-49E6-43DE-9108-F7B7A7BB6A5A}" name="PivotTable9" cacheId="1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M5:N8" firstHeaderRow="1" firstDataRow="1" firstDataCol="1"/>
  <pivotFields count="11">
    <pivotField showAll="0"/>
    <pivotField showAll="0"/>
    <pivotField showAll="0"/>
    <pivotField showAll="0"/>
    <pivotField showAll="0">
      <items count="6">
        <item h="1" x="1"/>
        <item x="2"/>
        <item h="1" x="3"/>
        <item h="1" x="0"/>
        <item h="1" x="4"/>
        <item t="default"/>
      </items>
    </pivotField>
    <pivotField numFmtId="164" showAll="0">
      <items count="42">
        <item x="20"/>
        <item x="37"/>
        <item x="9"/>
        <item x="17"/>
        <item x="29"/>
        <item x="16"/>
        <item x="18"/>
        <item x="33"/>
        <item x="36"/>
        <item x="3"/>
        <item x="8"/>
        <item x="14"/>
        <item x="6"/>
        <item x="38"/>
        <item x="10"/>
        <item x="24"/>
        <item x="31"/>
        <item x="13"/>
        <item x="4"/>
        <item x="5"/>
        <item x="19"/>
        <item x="27"/>
        <item x="11"/>
        <item x="1"/>
        <item x="7"/>
        <item x="15"/>
        <item x="34"/>
        <item x="2"/>
        <item x="28"/>
        <item x="39"/>
        <item x="21"/>
        <item x="40"/>
        <item x="30"/>
        <item x="25"/>
        <item x="35"/>
        <item x="23"/>
        <item x="0"/>
        <item x="22"/>
        <item x="32"/>
        <item x="26"/>
        <item x="12"/>
        <item t="default"/>
      </items>
    </pivotField>
    <pivotField axis="axisRow" showAll="0">
      <items count="6">
        <item x="1"/>
        <item x="0"/>
        <item x="2"/>
        <item x="3"/>
        <item x="4"/>
        <item t="default"/>
      </items>
    </pivotField>
    <pivotField dataField="1" showAll="0"/>
    <pivotField showAll="0">
      <items count="4">
        <item x="2"/>
        <item h="1" x="0"/>
        <item h="1" x="1"/>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3">
    <i>
      <x/>
    </i>
    <i>
      <x v="1"/>
    </i>
    <i>
      <x v="3"/>
    </i>
  </rowItems>
  <colItems count="1">
    <i/>
  </colItems>
  <dataFields count="1">
    <dataField name="Sum of Bonus" fld="7" baseField="0" baseItem="0"/>
  </dataFields>
  <formats count="5">
    <format dxfId="97">
      <pivotArea type="all" dataOnly="0" outline="0" fieldPosition="0"/>
    </format>
    <format dxfId="96">
      <pivotArea outline="0" collapsedLevelsAreSubtotals="1" fieldPosition="0"/>
    </format>
    <format dxfId="95">
      <pivotArea field="6" type="button" dataOnly="0" labelOnly="1" outline="0" axis="axisRow" fieldPosition="0"/>
    </format>
    <format dxfId="94">
      <pivotArea dataOnly="0" labelOnly="1" fieldPosition="0">
        <references count="1">
          <reference field="6" count="2">
            <x v="0"/>
            <x v="1"/>
          </reference>
        </references>
      </pivotArea>
    </format>
    <format dxfId="9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3B9506-965D-46AD-B711-726679B7F2B8}" name="PivotTable8" cacheId="1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J5:K8" firstHeaderRow="1" firstDataRow="1" firstDataCol="1"/>
  <pivotFields count="11">
    <pivotField showAll="0"/>
    <pivotField showAll="0"/>
    <pivotField showAll="0"/>
    <pivotField dataField="1" showAll="0"/>
    <pivotField showAll="0">
      <items count="6">
        <item h="1" x="1"/>
        <item x="2"/>
        <item h="1" x="3"/>
        <item h="1" x="0"/>
        <item h="1" x="4"/>
        <item t="default"/>
      </items>
    </pivotField>
    <pivotField axis="axisRow" numFmtId="164" showAll="0">
      <items count="42">
        <item x="20"/>
        <item x="37"/>
        <item x="9"/>
        <item x="17"/>
        <item x="29"/>
        <item x="16"/>
        <item x="18"/>
        <item x="33"/>
        <item x="36"/>
        <item x="3"/>
        <item x="8"/>
        <item x="14"/>
        <item x="6"/>
        <item x="38"/>
        <item x="10"/>
        <item x="24"/>
        <item x="31"/>
        <item x="13"/>
        <item x="4"/>
        <item x="5"/>
        <item x="19"/>
        <item x="27"/>
        <item x="11"/>
        <item x="1"/>
        <item x="7"/>
        <item x="15"/>
        <item x="34"/>
        <item x="2"/>
        <item x="28"/>
        <item x="39"/>
        <item x="21"/>
        <item x="40"/>
        <item x="30"/>
        <item x="25"/>
        <item x="35"/>
        <item x="23"/>
        <item x="0"/>
        <item x="22"/>
        <item x="32"/>
        <item x="26"/>
        <item x="12"/>
        <item t="default"/>
      </items>
    </pivotField>
    <pivotField showAll="0"/>
    <pivotField showAll="0"/>
    <pivotField showAll="0">
      <items count="4">
        <item x="2"/>
        <item h="1" x="0"/>
        <item h="1" x="1"/>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0"/>
    <field x="9"/>
    <field x="5"/>
  </rowFields>
  <rowItems count="3">
    <i>
      <x v="2"/>
    </i>
    <i>
      <x v="3"/>
    </i>
    <i>
      <x v="4"/>
    </i>
  </rowItems>
  <colItems count="1">
    <i/>
  </colItems>
  <dataFields count="1">
    <dataField name="Sum of Sales Amount" fld="3" baseField="0" baseItem="0"/>
  </dataFields>
  <formats count="7">
    <format dxfId="119">
      <pivotArea collapsedLevelsAreSubtotals="1" fieldPosition="0">
        <references count="1">
          <reference field="10" count="1">
            <x v="6"/>
          </reference>
        </references>
      </pivotArea>
    </format>
    <format dxfId="118">
      <pivotArea dataOnly="0" labelOnly="1" fieldPosition="0">
        <references count="1">
          <reference field="10" count="1">
            <x v="6"/>
          </reference>
        </references>
      </pivotArea>
    </format>
    <format dxfId="102">
      <pivotArea type="all" dataOnly="0" outline="0" fieldPosition="0"/>
    </format>
    <format dxfId="101">
      <pivotArea outline="0" collapsedLevelsAreSubtotals="1" fieldPosition="0"/>
    </format>
    <format dxfId="100">
      <pivotArea field="10" type="button" dataOnly="0" labelOnly="1" outline="0" axis="axisRow" fieldPosition="0"/>
    </format>
    <format dxfId="99">
      <pivotArea dataOnly="0" labelOnly="1" fieldPosition="0">
        <references count="1">
          <reference field="10" count="2">
            <x v="1"/>
            <x v="4"/>
          </reference>
        </references>
      </pivotArea>
    </format>
    <format dxfId="9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BA11B0C-0FCC-46A5-9646-08E1757D1CEB}" name="PivotTable7" cacheId="1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G5:H10" firstHeaderRow="1" firstDataRow="1" firstDataCol="1"/>
  <pivotFields count="11">
    <pivotField showAll="0"/>
    <pivotField axis="axisRow" showAll="0" measureFilter="1">
      <items count="51">
        <item x="48"/>
        <item x="2"/>
        <item x="35"/>
        <item x="41"/>
        <item x="36"/>
        <item x="20"/>
        <item x="31"/>
        <item x="15"/>
        <item x="5"/>
        <item x="7"/>
        <item x="16"/>
        <item x="42"/>
        <item x="3"/>
        <item x="17"/>
        <item x="34"/>
        <item x="38"/>
        <item x="1"/>
        <item x="9"/>
        <item x="43"/>
        <item x="40"/>
        <item x="44"/>
        <item x="12"/>
        <item x="21"/>
        <item x="8"/>
        <item x="30"/>
        <item x="37"/>
        <item x="49"/>
        <item x="0"/>
        <item x="13"/>
        <item x="32"/>
        <item x="19"/>
        <item x="4"/>
        <item x="24"/>
        <item x="11"/>
        <item x="6"/>
        <item x="47"/>
        <item x="29"/>
        <item x="33"/>
        <item x="45"/>
        <item x="46"/>
        <item x="27"/>
        <item x="22"/>
        <item x="14"/>
        <item x="25"/>
        <item x="23"/>
        <item x="10"/>
        <item x="18"/>
        <item x="39"/>
        <item x="26"/>
        <item x="28"/>
        <item t="default"/>
      </items>
    </pivotField>
    <pivotField showAll="0"/>
    <pivotField dataField="1" showAll="0"/>
    <pivotField multipleItemSelectionAllowed="1" showAll="0">
      <items count="6">
        <item h="1" x="1"/>
        <item x="2"/>
        <item h="1" x="3"/>
        <item h="1" x="0"/>
        <item h="1" x="4"/>
        <item t="default"/>
      </items>
    </pivotField>
    <pivotField numFmtId="164" showAll="0">
      <items count="42">
        <item x="20"/>
        <item x="37"/>
        <item x="9"/>
        <item x="17"/>
        <item x="29"/>
        <item x="16"/>
        <item x="18"/>
        <item x="33"/>
        <item x="36"/>
        <item x="3"/>
        <item x="8"/>
        <item x="14"/>
        <item x="6"/>
        <item x="38"/>
        <item x="10"/>
        <item x="24"/>
        <item x="31"/>
        <item x="13"/>
        <item x="4"/>
        <item x="5"/>
        <item x="19"/>
        <item x="27"/>
        <item x="11"/>
        <item x="1"/>
        <item x="7"/>
        <item x="15"/>
        <item x="34"/>
        <item x="2"/>
        <item x="28"/>
        <item x="39"/>
        <item x="21"/>
        <item x="40"/>
        <item x="30"/>
        <item x="25"/>
        <item x="35"/>
        <item x="23"/>
        <item x="0"/>
        <item x="22"/>
        <item x="32"/>
        <item x="26"/>
        <item x="12"/>
        <item t="default"/>
      </items>
    </pivotField>
    <pivotField showAll="0">
      <items count="6">
        <item x="1"/>
        <item x="0"/>
        <item x="2"/>
        <item x="3"/>
        <item x="4"/>
        <item t="default"/>
      </items>
    </pivotField>
    <pivotField showAll="0"/>
    <pivotField showAll="0">
      <items count="4">
        <item x="2"/>
        <item h="1" x="0"/>
        <item h="1"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5">
    <i>
      <x v="24"/>
    </i>
    <i>
      <x v="25"/>
    </i>
    <i>
      <x v="34"/>
    </i>
    <i>
      <x v="38"/>
    </i>
    <i>
      <x v="49"/>
    </i>
  </rowItems>
  <colItems count="1">
    <i/>
  </colItems>
  <dataFields count="1">
    <dataField name="Sum of Sales Amount" fld="3" baseField="0" baseItem="0"/>
  </dataFields>
  <formats count="5">
    <format dxfId="107">
      <pivotArea type="all" dataOnly="0" outline="0" fieldPosition="0"/>
    </format>
    <format dxfId="106">
      <pivotArea outline="0" collapsedLevelsAreSubtotals="1" fieldPosition="0"/>
    </format>
    <format dxfId="105">
      <pivotArea field="1" type="button" dataOnly="0" labelOnly="1" outline="0" axis="axisRow" fieldPosition="0"/>
    </format>
    <format dxfId="104">
      <pivotArea dataOnly="0" labelOnly="1" fieldPosition="0">
        <references count="1">
          <reference field="1" count="4">
            <x v="11"/>
            <x v="16"/>
            <x v="22"/>
            <x v="39"/>
          </reference>
        </references>
      </pivotArea>
    </format>
    <format dxfId="10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6E84C3-4E98-4254-B6FA-41D8A24493BE}" name="PivotTable6" cacheId="1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D4:E9" firstHeaderRow="1" firstDataRow="1" firstDataCol="1"/>
  <pivotFields count="11">
    <pivotField axis="axisRow" showAll="0" measureFilter="1">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pivotField dataField="1" showAll="0"/>
    <pivotField showAll="0"/>
    <pivotField showAll="0">
      <items count="6">
        <item h="1" x="1"/>
        <item x="2"/>
        <item h="1" x="3"/>
        <item h="1" x="0"/>
        <item h="1" x="4"/>
        <item t="default"/>
      </items>
    </pivotField>
    <pivotField numFmtId="164" showAll="0">
      <items count="42">
        <item x="20"/>
        <item x="37"/>
        <item x="9"/>
        <item x="17"/>
        <item x="29"/>
        <item x="16"/>
        <item x="18"/>
        <item x="33"/>
        <item x="36"/>
        <item x="3"/>
        <item x="8"/>
        <item x="14"/>
        <item x="6"/>
        <item x="38"/>
        <item x="10"/>
        <item x="24"/>
        <item x="31"/>
        <item x="13"/>
        <item x="4"/>
        <item x="5"/>
        <item x="19"/>
        <item x="27"/>
        <item x="11"/>
        <item x="1"/>
        <item x="7"/>
        <item x="15"/>
        <item x="34"/>
        <item x="2"/>
        <item x="28"/>
        <item x="39"/>
        <item x="21"/>
        <item x="40"/>
        <item x="30"/>
        <item x="25"/>
        <item x="35"/>
        <item x="23"/>
        <item x="0"/>
        <item x="22"/>
        <item x="32"/>
        <item x="26"/>
        <item x="12"/>
        <item t="default"/>
      </items>
    </pivotField>
    <pivotField showAll="0">
      <items count="6">
        <item x="1"/>
        <item x="0"/>
        <item x="2"/>
        <item x="3"/>
        <item x="4"/>
        <item t="default"/>
      </items>
    </pivotField>
    <pivotField showAll="0"/>
    <pivotField showAll="0">
      <items count="4">
        <item x="2"/>
        <item h="1" x="0"/>
        <item h="1"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v="6"/>
    </i>
    <i>
      <x v="28"/>
    </i>
    <i>
      <x v="30"/>
    </i>
    <i>
      <x v="37"/>
    </i>
    <i>
      <x v="45"/>
    </i>
  </rowItems>
  <colItems count="1">
    <i/>
  </colItems>
  <dataFields count="1">
    <dataField name="Average of Salary" fld="2" subtotal="average" baseField="6" baseItem="0"/>
  </dataFields>
  <formats count="7">
    <format dxfId="123">
      <pivotArea field="0" type="button" dataOnly="0" labelOnly="1" outline="0" axis="axisRow" fieldPosition="0"/>
    </format>
    <format dxfId="122">
      <pivotArea dataOnly="0" labelOnly="1" outline="0" axis="axisValues" fieldPosition="0"/>
    </format>
    <format dxfId="112">
      <pivotArea type="all" dataOnly="0" outline="0" fieldPosition="0"/>
    </format>
    <format dxfId="111">
      <pivotArea outline="0" collapsedLevelsAreSubtotals="1" fieldPosition="0"/>
    </format>
    <format dxfId="110">
      <pivotArea field="0" type="button" dataOnly="0" labelOnly="1" outline="0" axis="axisRow" fieldPosition="0"/>
    </format>
    <format dxfId="109">
      <pivotArea dataOnly="0" labelOnly="1" fieldPosition="0">
        <references count="1">
          <reference field="0" count="4">
            <x v="1"/>
            <x v="21"/>
            <x v="42"/>
            <x v="46"/>
          </reference>
        </references>
      </pivotArea>
    </format>
    <format dxfId="10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BBF3231-005E-40EA-B217-A9FA7C2040C8}" name="PivotTable5" cacheId="1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location ref="A4:B5" firstHeaderRow="1" firstDataRow="1" firstDataCol="1"/>
  <pivotFields count="11">
    <pivotField showAll="0"/>
    <pivotField showAll="0"/>
    <pivotField showAll="0"/>
    <pivotField dataField="1" showAll="0"/>
    <pivotField axis="axisRow" showAll="0">
      <items count="6">
        <item h="1" x="1"/>
        <item x="2"/>
        <item h="1" x="3"/>
        <item h="1" x="0"/>
        <item h="1" x="4"/>
        <item t="default"/>
      </items>
    </pivotField>
    <pivotField numFmtId="164" showAll="0">
      <items count="42">
        <item x="20"/>
        <item x="37"/>
        <item x="9"/>
        <item x="17"/>
        <item x="29"/>
        <item x="16"/>
        <item x="18"/>
        <item x="33"/>
        <item x="36"/>
        <item x="3"/>
        <item x="8"/>
        <item x="14"/>
        <item x="6"/>
        <item x="38"/>
        <item x="10"/>
        <item x="24"/>
        <item x="31"/>
        <item x="13"/>
        <item x="4"/>
        <item x="5"/>
        <item x="19"/>
        <item x="27"/>
        <item x="11"/>
        <item x="1"/>
        <item x="7"/>
        <item x="15"/>
        <item x="34"/>
        <item x="2"/>
        <item x="28"/>
        <item x="39"/>
        <item x="21"/>
        <item x="40"/>
        <item x="30"/>
        <item x="25"/>
        <item x="35"/>
        <item x="23"/>
        <item x="0"/>
        <item x="22"/>
        <item x="32"/>
        <item x="26"/>
        <item x="12"/>
        <item t="default"/>
      </items>
    </pivotField>
    <pivotField showAll="0"/>
    <pivotField showAll="0"/>
    <pivotField showAll="0">
      <items count="4">
        <item x="2"/>
        <item h="1" x="0"/>
        <item h="1"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1">
    <i>
      <x v="1"/>
    </i>
  </rowItems>
  <colItems count="1">
    <i/>
  </colItems>
  <dataFields count="1">
    <dataField name="Sum of Sales Amount" fld="3" baseField="0" baseItem="0"/>
  </dataFields>
  <formats count="7">
    <format dxfId="121">
      <pivotArea field="4" type="button" dataOnly="0" labelOnly="1" outline="0" axis="axisRow" fieldPosition="0"/>
    </format>
    <format dxfId="120">
      <pivotArea dataOnly="0" labelOnly="1" outline="0" axis="axisValues" fieldPosition="0"/>
    </format>
    <format dxfId="117">
      <pivotArea type="all" dataOnly="0" outline="0" fieldPosition="0"/>
    </format>
    <format dxfId="116">
      <pivotArea outline="0" collapsedLevelsAreSubtotals="1" fieldPosition="0"/>
    </format>
    <format dxfId="115">
      <pivotArea field="4" type="button" dataOnly="0" labelOnly="1" outline="0" axis="axisRow" fieldPosition="0"/>
    </format>
    <format dxfId="114">
      <pivotArea dataOnly="0" labelOnly="1" fieldPosition="0">
        <references count="1">
          <reference field="4" count="0"/>
        </references>
      </pivotArea>
    </format>
    <format dxfId="11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ment_Status" xr10:uid="{82DF2DF1-01F6-4960-9FCD-BE24A9CCB864}" sourceName="Employment Status">
  <pivotTables>
    <pivotTable tabId="6" name="PivotTable5"/>
    <pivotTable tabId="6" name="PivotTable6"/>
    <pivotTable tabId="6" name="PivotTable7"/>
    <pivotTable tabId="6" name="PivotTable8"/>
    <pivotTable tabId="6" name="PivotTable9"/>
  </pivotTables>
  <data>
    <tabular pivotCacheId="207459745">
      <items count="3">
        <i x="2" s="1"/>
        <i x="0"/>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856111E-5295-4742-B0B7-BB6CD842C635}" sourceName="Region">
  <pivotTables>
    <pivotTable tabId="6" name="PivotTable5"/>
    <pivotTable tabId="6" name="PivotTable6"/>
    <pivotTable tabId="6" name="PivotTable7"/>
    <pivotTable tabId="6" name="PivotTable8"/>
    <pivotTable tabId="6" name="PivotTable9"/>
  </pivotTables>
  <data>
    <tabular pivotCacheId="207459745">
      <items count="5">
        <i x="1"/>
        <i x="2" s="1"/>
        <i x="3"/>
        <i x="0"/>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ment Status" xr10:uid="{2539C651-AD13-4833-B4C8-CD8747BB55F1}" cache="Slicer_Employment_Status" caption="Employment Status" columnCount="3" showCaption="0" rowHeight="241300"/>
  <slicer name="Region" xr10:uid="{48DD595E-A032-407A-937E-CF45A8840EC4}" cache="Slicer_Region" caption="Region" columnCount="5" showCaption="0"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ivotTable" Target="../pivotTables/pivotTable5.xml"/><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00EBB-FD7A-4608-858C-47C2ABEF0703}">
  <sheetPr codeName="Sheet1"/>
  <dimension ref="A1:O23"/>
  <sheetViews>
    <sheetView showGridLines="0" showRowColHeaders="0" tabSelected="1" zoomScale="89" zoomScaleNormal="89" workbookViewId="0">
      <selection activeCell="I2" sqref="I2"/>
    </sheetView>
  </sheetViews>
  <sheetFormatPr defaultRowHeight="15" x14ac:dyDescent="0.25"/>
  <cols>
    <col min="1" max="1" width="13.42578125" bestFit="1" customWidth="1"/>
    <col min="2" max="2" width="20" bestFit="1" customWidth="1"/>
    <col min="3" max="3" width="10.7109375" customWidth="1"/>
    <col min="4" max="4" width="13.42578125" bestFit="1" customWidth="1"/>
    <col min="5" max="5" width="16.42578125" bestFit="1" customWidth="1"/>
    <col min="6" max="6" width="11.5703125" customWidth="1"/>
    <col min="7" max="7" width="14" bestFit="1" customWidth="1"/>
    <col min="8" max="8" width="20" customWidth="1"/>
    <col min="9" max="9" width="10" customWidth="1"/>
    <col min="10" max="10" width="13.42578125" bestFit="1" customWidth="1"/>
    <col min="11" max="11" width="20" bestFit="1" customWidth="1"/>
    <col min="12" max="12" width="12.140625" customWidth="1"/>
    <col min="13" max="13" width="13.42578125" bestFit="1" customWidth="1"/>
    <col min="14" max="14" width="13.140625" bestFit="1" customWidth="1"/>
  </cols>
  <sheetData>
    <row r="1" spans="1:15" ht="98.25" customHeight="1" x14ac:dyDescent="0.25">
      <c r="A1" s="7" t="s">
        <v>128</v>
      </c>
      <c r="B1" s="8"/>
      <c r="C1" s="8"/>
      <c r="D1" s="8"/>
      <c r="E1" s="8"/>
      <c r="F1" s="8"/>
      <c r="G1" s="8"/>
      <c r="H1" s="8"/>
      <c r="I1" s="8"/>
      <c r="J1" s="8"/>
      <c r="K1" s="8"/>
      <c r="L1" s="8"/>
      <c r="M1" s="8"/>
      <c r="N1" s="8"/>
      <c r="O1" s="8"/>
    </row>
    <row r="2" spans="1:15" ht="64.5" customHeight="1" x14ac:dyDescent="0.25">
      <c r="A2" s="1"/>
      <c r="B2" s="1"/>
      <c r="C2" s="1"/>
      <c r="D2" s="1" t="b">
        <v>1</v>
      </c>
      <c r="E2" s="1"/>
      <c r="F2" s="1"/>
      <c r="G2" s="1" t="b">
        <v>1</v>
      </c>
      <c r="H2" s="1"/>
      <c r="I2" s="1"/>
      <c r="J2" s="1" t="b">
        <v>1</v>
      </c>
      <c r="K2" s="1"/>
      <c r="L2" s="1"/>
      <c r="M2" s="1" t="b">
        <v>1</v>
      </c>
      <c r="N2" s="1"/>
      <c r="O2" s="1"/>
    </row>
    <row r="3" spans="1:15" s="3" customFormat="1" ht="60" customHeight="1" x14ac:dyDescent="0.25">
      <c r="A3" s="2"/>
      <c r="B3" s="2"/>
      <c r="C3" s="2"/>
      <c r="D3" s="2"/>
      <c r="E3" s="2"/>
      <c r="F3" s="2"/>
      <c r="G3" s="2"/>
      <c r="H3" s="2"/>
      <c r="I3" s="2"/>
      <c r="J3" s="2"/>
      <c r="K3" s="2"/>
      <c r="L3" s="2"/>
      <c r="M3" s="2"/>
      <c r="N3" s="2"/>
      <c r="O3" s="2"/>
    </row>
    <row r="4" spans="1:15" x14ac:dyDescent="0.25">
      <c r="A4" s="4" t="s">
        <v>121</v>
      </c>
      <c r="B4" s="4" t="s">
        <v>122</v>
      </c>
      <c r="C4" s="1"/>
      <c r="D4" s="4" t="s">
        <v>121</v>
      </c>
      <c r="E4" s="4" t="s">
        <v>123</v>
      </c>
      <c r="F4" s="1"/>
      <c r="G4" s="1"/>
      <c r="H4" s="1"/>
      <c r="I4" s="1"/>
      <c r="J4" s="1"/>
      <c r="K4" s="1"/>
      <c r="L4" s="1"/>
      <c r="M4" s="1"/>
      <c r="N4" s="1"/>
      <c r="O4" s="2"/>
    </row>
    <row r="5" spans="1:15" x14ac:dyDescent="0.25">
      <c r="A5" s="5" t="s">
        <v>111</v>
      </c>
      <c r="B5" s="6">
        <v>15516</v>
      </c>
      <c r="C5" s="1"/>
      <c r="D5" s="5" t="s">
        <v>15</v>
      </c>
      <c r="E5" s="6">
        <v>69844</v>
      </c>
      <c r="F5" s="1"/>
      <c r="G5" s="4" t="s">
        <v>121</v>
      </c>
      <c r="H5" s="4" t="s">
        <v>122</v>
      </c>
      <c r="I5" s="1"/>
      <c r="J5" s="4" t="s">
        <v>121</v>
      </c>
      <c r="K5" s="4" t="s">
        <v>122</v>
      </c>
      <c r="L5" s="1"/>
      <c r="M5" s="4" t="s">
        <v>121</v>
      </c>
      <c r="N5" s="4" t="s">
        <v>127</v>
      </c>
      <c r="O5" s="2"/>
    </row>
    <row r="6" spans="1:15" x14ac:dyDescent="0.25">
      <c r="A6" s="4"/>
      <c r="B6" s="4"/>
      <c r="C6" s="1"/>
      <c r="D6" s="5" t="s">
        <v>37</v>
      </c>
      <c r="E6" s="6">
        <v>69074</v>
      </c>
      <c r="F6" s="1"/>
      <c r="G6" s="5" t="s">
        <v>89</v>
      </c>
      <c r="H6" s="6">
        <v>4379</v>
      </c>
      <c r="I6" s="1"/>
      <c r="J6" s="5" t="s">
        <v>124</v>
      </c>
      <c r="K6" s="6">
        <v>3566</v>
      </c>
      <c r="L6" s="1"/>
      <c r="M6" s="5" t="s">
        <v>114</v>
      </c>
      <c r="N6" s="6">
        <v>3835</v>
      </c>
      <c r="O6" s="2"/>
    </row>
    <row r="7" spans="1:15" x14ac:dyDescent="0.25">
      <c r="A7" s="4"/>
      <c r="B7" s="4"/>
      <c r="C7" s="1"/>
      <c r="D7" s="5" t="s">
        <v>39</v>
      </c>
      <c r="E7" s="6">
        <v>52160</v>
      </c>
      <c r="F7" s="1"/>
      <c r="G7" s="5" t="s">
        <v>96</v>
      </c>
      <c r="H7" s="6">
        <v>677</v>
      </c>
      <c r="I7" s="1"/>
      <c r="J7" s="5" t="s">
        <v>125</v>
      </c>
      <c r="K7" s="6">
        <v>4379</v>
      </c>
      <c r="L7" s="1"/>
      <c r="M7" s="5" t="s">
        <v>113</v>
      </c>
      <c r="N7" s="6">
        <v>5511</v>
      </c>
      <c r="O7" s="2"/>
    </row>
    <row r="8" spans="1:15" x14ac:dyDescent="0.25">
      <c r="A8" s="4"/>
      <c r="B8" s="4"/>
      <c r="C8" s="1"/>
      <c r="D8" s="5" t="s">
        <v>46</v>
      </c>
      <c r="E8" s="6">
        <v>45414</v>
      </c>
      <c r="F8" s="1"/>
      <c r="G8" s="5" t="s">
        <v>65</v>
      </c>
      <c r="H8" s="6">
        <v>2889</v>
      </c>
      <c r="I8" s="1"/>
      <c r="J8" s="5" t="s">
        <v>126</v>
      </c>
      <c r="K8" s="6">
        <v>7571</v>
      </c>
      <c r="L8" s="1"/>
      <c r="M8" s="5" t="s">
        <v>116</v>
      </c>
      <c r="N8" s="6">
        <v>22557</v>
      </c>
      <c r="O8" s="2"/>
    </row>
    <row r="9" spans="1:15" x14ac:dyDescent="0.25">
      <c r="A9" s="4"/>
      <c r="B9" s="4"/>
      <c r="C9" s="1"/>
      <c r="D9" s="5" t="s">
        <v>54</v>
      </c>
      <c r="E9" s="6">
        <v>79024</v>
      </c>
      <c r="F9" s="1"/>
      <c r="G9" s="5" t="s">
        <v>104</v>
      </c>
      <c r="H9" s="6">
        <v>4728</v>
      </c>
      <c r="I9" s="1"/>
      <c r="L9" s="1"/>
      <c r="O9" s="2"/>
    </row>
    <row r="10" spans="1:15" x14ac:dyDescent="0.25">
      <c r="A10" s="1"/>
      <c r="B10" s="1"/>
      <c r="C10" s="1"/>
      <c r="D10" s="1"/>
      <c r="E10" s="1"/>
      <c r="F10" s="1"/>
      <c r="G10" s="5" t="s">
        <v>87</v>
      </c>
      <c r="H10" s="6">
        <v>2843</v>
      </c>
      <c r="I10" s="1"/>
      <c r="L10" s="1"/>
      <c r="O10" s="2"/>
    </row>
    <row r="11" spans="1:15" s="3" customFormat="1" x14ac:dyDescent="0.25">
      <c r="A11" s="2"/>
      <c r="B11" s="2"/>
      <c r="C11" s="2"/>
      <c r="D11" s="2"/>
      <c r="E11" s="2"/>
      <c r="F11" s="2"/>
      <c r="G11" s="2"/>
      <c r="H11" s="2"/>
      <c r="I11" s="2"/>
      <c r="J11"/>
      <c r="K11"/>
      <c r="L11" s="2"/>
      <c r="M11" s="2"/>
      <c r="N11" s="2"/>
      <c r="O11" s="2"/>
    </row>
    <row r="12" spans="1:15" x14ac:dyDescent="0.25">
      <c r="A12" s="1"/>
      <c r="B12" s="1"/>
      <c r="C12" s="1"/>
      <c r="D12" s="1"/>
      <c r="E12" s="1"/>
      <c r="F12" s="1"/>
      <c r="G12" s="1"/>
      <c r="H12" s="1"/>
      <c r="I12" s="1"/>
      <c r="J12" s="1"/>
      <c r="K12" s="1"/>
      <c r="L12" s="1"/>
      <c r="M12" s="1"/>
      <c r="N12" s="1"/>
      <c r="O12" s="1"/>
    </row>
    <row r="13" spans="1:15" x14ac:dyDescent="0.25">
      <c r="A13" s="1"/>
      <c r="B13" s="1"/>
      <c r="C13" s="1"/>
      <c r="D13" s="1"/>
      <c r="E13" s="1"/>
      <c r="F13" s="1"/>
      <c r="G13" s="1"/>
      <c r="H13" s="1"/>
      <c r="I13" s="1"/>
      <c r="J13" s="1"/>
      <c r="K13" s="1"/>
      <c r="L13" s="1"/>
      <c r="M13" s="1"/>
      <c r="N13" s="1"/>
      <c r="O13" s="1"/>
    </row>
    <row r="14" spans="1:15" x14ac:dyDescent="0.25">
      <c r="A14" s="1"/>
      <c r="B14" s="1"/>
      <c r="C14" s="1"/>
      <c r="D14" s="1"/>
      <c r="E14" s="1"/>
      <c r="F14" s="1"/>
      <c r="G14" s="1"/>
      <c r="H14" s="1"/>
      <c r="I14" s="1"/>
      <c r="J14" s="1"/>
      <c r="K14" s="1"/>
      <c r="L14" s="1"/>
      <c r="M14" s="1"/>
      <c r="N14" s="1"/>
      <c r="O14" s="1"/>
    </row>
    <row r="15" spans="1:15" x14ac:dyDescent="0.25">
      <c r="A15" s="1"/>
      <c r="B15" s="1"/>
      <c r="C15" s="1"/>
      <c r="D15" s="1"/>
      <c r="E15" s="1"/>
      <c r="F15" s="1"/>
      <c r="G15" s="1"/>
      <c r="H15" s="1"/>
      <c r="I15" s="1"/>
      <c r="J15" s="1"/>
      <c r="K15" s="1"/>
      <c r="L15" s="1"/>
      <c r="M15" s="1"/>
      <c r="N15" s="1"/>
      <c r="O15" s="1"/>
    </row>
    <row r="16" spans="1:15"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A20" s="1"/>
      <c r="B20" s="1"/>
      <c r="C20" s="1"/>
      <c r="D20" s="1"/>
      <c r="E20" s="1"/>
      <c r="F20" s="1"/>
      <c r="G20" s="1"/>
      <c r="H20" s="1"/>
      <c r="I20" s="1"/>
      <c r="J20" s="1"/>
      <c r="K20" s="1"/>
      <c r="L20" s="1"/>
      <c r="M20" s="1"/>
      <c r="N20" s="1"/>
      <c r="O20" s="1"/>
    </row>
    <row r="21" spans="1:15" x14ac:dyDescent="0.25">
      <c r="A21" s="1"/>
      <c r="B21" s="1"/>
      <c r="C21" s="1"/>
      <c r="D21" s="1"/>
      <c r="E21" s="1"/>
      <c r="F21" s="1"/>
      <c r="G21" s="1"/>
      <c r="H21" s="1"/>
      <c r="I21" s="1"/>
      <c r="J21" s="1"/>
      <c r="K21" s="1"/>
      <c r="L21" s="1"/>
      <c r="M21" s="1"/>
      <c r="N21" s="1"/>
      <c r="O21" s="1"/>
    </row>
    <row r="22" spans="1:15" x14ac:dyDescent="0.25">
      <c r="A22" s="1"/>
      <c r="B22" s="1"/>
      <c r="C22" s="1"/>
      <c r="D22" s="1"/>
      <c r="E22" s="1"/>
      <c r="F22" s="1"/>
      <c r="G22" s="1"/>
      <c r="H22" s="1"/>
      <c r="I22" s="1"/>
      <c r="J22" s="1"/>
      <c r="K22" s="1"/>
      <c r="L22" s="1"/>
      <c r="M22" s="1"/>
      <c r="N22" s="1"/>
      <c r="O22" s="1"/>
    </row>
    <row r="23" spans="1:15" x14ac:dyDescent="0.25">
      <c r="A23" s="1"/>
      <c r="B23" s="1"/>
      <c r="C23" s="1"/>
      <c r="D23" s="1"/>
      <c r="E23" s="1"/>
      <c r="F23" s="1"/>
      <c r="G23" s="1"/>
      <c r="H23" s="1"/>
      <c r="I23" s="1"/>
      <c r="J23" s="1"/>
      <c r="K23" s="1"/>
      <c r="L23" s="1"/>
      <c r="M23" s="1"/>
      <c r="N23" s="1"/>
      <c r="O23" s="1"/>
    </row>
  </sheetData>
  <mergeCells count="1">
    <mergeCell ref="A1:O1"/>
  </mergeCells>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ManageSlicersForAllPivotTables">
                <anchor moveWithCells="1">
                  <from>
                    <xdr:col>3</xdr:col>
                    <xdr:colOff>266700</xdr:colOff>
                    <xdr:row>2</xdr:row>
                    <xdr:rowOff>266700</xdr:rowOff>
                  </from>
                  <to>
                    <xdr:col>3</xdr:col>
                    <xdr:colOff>600075</xdr:colOff>
                    <xdr:row>2</xdr:row>
                    <xdr:rowOff>485775</xdr:rowOff>
                  </to>
                </anchor>
              </controlPr>
            </control>
          </mc:Choice>
        </mc:AlternateContent>
        <mc:AlternateContent xmlns:mc="http://schemas.openxmlformats.org/markup-compatibility/2006">
          <mc:Choice Requires="x14">
            <control shapeId="1027" r:id="rId9" name="Check Box 3">
              <controlPr defaultSize="0" autoFill="0" autoLine="0" autoPict="0" macro="[0]!ManageSlicersForAllPivotTables">
                <anchor moveWithCells="1">
                  <from>
                    <xdr:col>6</xdr:col>
                    <xdr:colOff>285750</xdr:colOff>
                    <xdr:row>2</xdr:row>
                    <xdr:rowOff>285750</xdr:rowOff>
                  </from>
                  <to>
                    <xdr:col>6</xdr:col>
                    <xdr:colOff>619125</xdr:colOff>
                    <xdr:row>2</xdr:row>
                    <xdr:rowOff>504825</xdr:rowOff>
                  </to>
                </anchor>
              </controlPr>
            </control>
          </mc:Choice>
        </mc:AlternateContent>
        <mc:AlternateContent xmlns:mc="http://schemas.openxmlformats.org/markup-compatibility/2006">
          <mc:Choice Requires="x14">
            <control shapeId="1028" r:id="rId10" name="Check Box 4">
              <controlPr defaultSize="0" autoFill="0" autoLine="0" autoPict="0" macro="[0]!ManageSlicersForAllPivotTables">
                <anchor moveWithCells="1">
                  <from>
                    <xdr:col>9</xdr:col>
                    <xdr:colOff>361950</xdr:colOff>
                    <xdr:row>2</xdr:row>
                    <xdr:rowOff>276225</xdr:rowOff>
                  </from>
                  <to>
                    <xdr:col>9</xdr:col>
                    <xdr:colOff>695325</xdr:colOff>
                    <xdr:row>2</xdr:row>
                    <xdr:rowOff>495300</xdr:rowOff>
                  </to>
                </anchor>
              </controlPr>
            </control>
          </mc:Choice>
        </mc:AlternateContent>
        <mc:AlternateContent xmlns:mc="http://schemas.openxmlformats.org/markup-compatibility/2006">
          <mc:Choice Requires="x14">
            <control shapeId="1029" r:id="rId11" name="Check Box 5">
              <controlPr defaultSize="0" autoFill="0" autoLine="0" autoPict="0" macro="[0]!ManageSlicersForAllPivotTables">
                <anchor moveWithCells="1">
                  <from>
                    <xdr:col>12</xdr:col>
                    <xdr:colOff>209550</xdr:colOff>
                    <xdr:row>2</xdr:row>
                    <xdr:rowOff>247650</xdr:rowOff>
                  </from>
                  <to>
                    <xdr:col>12</xdr:col>
                    <xdr:colOff>542925</xdr:colOff>
                    <xdr:row>2</xdr:row>
                    <xdr:rowOff>466725</xdr:rowOff>
                  </to>
                </anchor>
              </controlPr>
            </control>
          </mc:Choice>
        </mc:AlternateContent>
        <mc:AlternateContent xmlns:mc="http://schemas.openxmlformats.org/markup-compatibility/2006">
          <mc:Choice Requires="x14">
            <control shapeId="1030" r:id="rId12" name="Check Box 6">
              <controlPr defaultSize="0" autoFill="0" autoLine="0" autoPict="0" macro="[0]!ManageSlicersForAllPivotTables">
                <anchor moveWithCells="1">
                  <from>
                    <xdr:col>0</xdr:col>
                    <xdr:colOff>381000</xdr:colOff>
                    <xdr:row>2</xdr:row>
                    <xdr:rowOff>285750</xdr:rowOff>
                  </from>
                  <to>
                    <xdr:col>0</xdr:col>
                    <xdr:colOff>781050</xdr:colOff>
                    <xdr:row>2</xdr:row>
                    <xdr:rowOff>523875</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I51"/>
  <sheetViews>
    <sheetView workbookViewId="0">
      <selection activeCell="F12" sqref="F12"/>
    </sheetView>
  </sheetViews>
  <sheetFormatPr defaultRowHeight="15" x14ac:dyDescent="0.25"/>
  <cols>
    <col min="1" max="1" width="12.140625" bestFit="1" customWidth="1"/>
    <col min="2" max="2" width="21.42578125" bestFit="1" customWidth="1"/>
    <col min="3" max="3" width="6.28515625" bestFit="1" customWidth="1"/>
    <col min="4" max="4" width="13.28515625" bestFit="1" customWidth="1"/>
    <col min="5" max="5" width="7.140625" bestFit="1" customWidth="1"/>
    <col min="6" max="6" width="10.42578125" bestFit="1" customWidth="1"/>
    <col min="7" max="7" width="11.7109375" bestFit="1" customWidth="1"/>
    <col min="8" max="8" width="6.42578125" bestFit="1" customWidth="1"/>
    <col min="9" max="9" width="18.42578125" bestFit="1" customWidth="1"/>
  </cols>
  <sheetData>
    <row r="1" spans="1:9" x14ac:dyDescent="0.25">
      <c r="A1" s="9" t="s">
        <v>0</v>
      </c>
      <c r="B1" s="9" t="s">
        <v>1</v>
      </c>
      <c r="C1" s="9" t="s">
        <v>2</v>
      </c>
      <c r="D1" s="9" t="s">
        <v>3</v>
      </c>
      <c r="E1" s="9" t="s">
        <v>4</v>
      </c>
      <c r="F1" s="9" t="s">
        <v>5</v>
      </c>
      <c r="G1" s="9" t="s">
        <v>6</v>
      </c>
      <c r="H1" s="9" t="s">
        <v>7</v>
      </c>
      <c r="I1" s="9" t="s">
        <v>8</v>
      </c>
    </row>
    <row r="2" spans="1:9" x14ac:dyDescent="0.25">
      <c r="A2" s="10" t="s">
        <v>9</v>
      </c>
      <c r="B2" s="10" t="s">
        <v>59</v>
      </c>
      <c r="C2" s="10">
        <v>83611</v>
      </c>
      <c r="D2" s="10">
        <v>4835</v>
      </c>
      <c r="E2" s="10" t="s">
        <v>109</v>
      </c>
      <c r="F2" s="11">
        <v>45446</v>
      </c>
      <c r="G2" s="10" t="s">
        <v>113</v>
      </c>
      <c r="H2" s="10">
        <v>9924</v>
      </c>
      <c r="I2" s="10" t="s">
        <v>118</v>
      </c>
    </row>
    <row r="3" spans="1:9" x14ac:dyDescent="0.25">
      <c r="A3" s="10" t="s">
        <v>10</v>
      </c>
      <c r="B3" s="10" t="s">
        <v>60</v>
      </c>
      <c r="C3" s="10">
        <v>39823</v>
      </c>
      <c r="D3" s="10">
        <v>2950</v>
      </c>
      <c r="E3" s="10" t="s">
        <v>110</v>
      </c>
      <c r="F3" s="11">
        <v>45397</v>
      </c>
      <c r="G3" s="10" t="s">
        <v>114</v>
      </c>
      <c r="H3" s="10">
        <v>6637</v>
      </c>
      <c r="I3" s="10" t="s">
        <v>119</v>
      </c>
    </row>
    <row r="4" spans="1:9" x14ac:dyDescent="0.25">
      <c r="A4" s="10" t="s">
        <v>11</v>
      </c>
      <c r="B4" s="10" t="s">
        <v>61</v>
      </c>
      <c r="C4" s="10">
        <v>53782</v>
      </c>
      <c r="D4" s="10">
        <v>2807</v>
      </c>
      <c r="E4" s="10" t="s">
        <v>111</v>
      </c>
      <c r="F4" s="11">
        <v>45409</v>
      </c>
      <c r="G4" s="10" t="s">
        <v>115</v>
      </c>
      <c r="H4" s="10">
        <v>5975</v>
      </c>
      <c r="I4" s="10" t="s">
        <v>118</v>
      </c>
    </row>
    <row r="5" spans="1:9" x14ac:dyDescent="0.25">
      <c r="A5" s="10" t="s">
        <v>12</v>
      </c>
      <c r="B5" s="10" t="s">
        <v>62</v>
      </c>
      <c r="C5" s="10">
        <v>54217</v>
      </c>
      <c r="D5" s="10">
        <v>2746</v>
      </c>
      <c r="E5" s="10" t="s">
        <v>110</v>
      </c>
      <c r="F5" s="11">
        <v>45333</v>
      </c>
      <c r="G5" s="10" t="s">
        <v>116</v>
      </c>
      <c r="H5" s="10">
        <v>7187</v>
      </c>
      <c r="I5" s="10" t="s">
        <v>120</v>
      </c>
    </row>
    <row r="6" spans="1:9" x14ac:dyDescent="0.25">
      <c r="A6" s="10" t="s">
        <v>13</v>
      </c>
      <c r="B6" s="10" t="s">
        <v>63</v>
      </c>
      <c r="C6" s="10">
        <v>88052</v>
      </c>
      <c r="D6" s="10"/>
      <c r="E6" s="10" t="s">
        <v>112</v>
      </c>
      <c r="F6" s="11">
        <v>45377</v>
      </c>
      <c r="G6" s="10" t="s">
        <v>113</v>
      </c>
      <c r="H6" s="10">
        <v>7275</v>
      </c>
      <c r="I6" s="10" t="s">
        <v>119</v>
      </c>
    </row>
    <row r="7" spans="1:9" x14ac:dyDescent="0.25">
      <c r="A7" s="10" t="s">
        <v>14</v>
      </c>
      <c r="B7" s="10" t="s">
        <v>64</v>
      </c>
      <c r="C7" s="10">
        <v>32516</v>
      </c>
      <c r="D7" s="10">
        <v>4997</v>
      </c>
      <c r="E7" s="10" t="s">
        <v>110</v>
      </c>
      <c r="F7" s="11">
        <v>45378</v>
      </c>
      <c r="G7" s="10" t="s">
        <v>114</v>
      </c>
      <c r="H7" s="10">
        <v>2432</v>
      </c>
      <c r="I7" s="10" t="s">
        <v>120</v>
      </c>
    </row>
    <row r="8" spans="1:9" x14ac:dyDescent="0.25">
      <c r="A8" s="10" t="s">
        <v>15</v>
      </c>
      <c r="B8" s="10" t="s">
        <v>65</v>
      </c>
      <c r="C8" s="10">
        <v>69844</v>
      </c>
      <c r="D8" s="10">
        <v>2889</v>
      </c>
      <c r="E8" s="10" t="s">
        <v>111</v>
      </c>
      <c r="F8" s="11">
        <v>45347</v>
      </c>
      <c r="G8" s="10" t="s">
        <v>116</v>
      </c>
      <c r="H8" s="10">
        <v>8290</v>
      </c>
      <c r="I8" s="10" t="s">
        <v>120</v>
      </c>
    </row>
    <row r="9" spans="1:9" x14ac:dyDescent="0.25">
      <c r="A9" s="10" t="s">
        <v>16</v>
      </c>
      <c r="B9" s="10" t="s">
        <v>66</v>
      </c>
      <c r="C9" s="10">
        <v>46082</v>
      </c>
      <c r="D9" s="10">
        <v>3503</v>
      </c>
      <c r="E9" s="10" t="s">
        <v>111</v>
      </c>
      <c r="F9" s="11">
        <v>45402</v>
      </c>
      <c r="G9" s="10" t="s">
        <v>115</v>
      </c>
      <c r="H9" s="10">
        <v>7245</v>
      </c>
      <c r="I9" s="10" t="s">
        <v>118</v>
      </c>
    </row>
    <row r="10" spans="1:9" x14ac:dyDescent="0.25">
      <c r="A10" s="10" t="s">
        <v>17</v>
      </c>
      <c r="B10" s="10" t="s">
        <v>67</v>
      </c>
      <c r="C10" s="10">
        <v>60589</v>
      </c>
      <c r="D10" s="10">
        <v>3515</v>
      </c>
      <c r="E10" s="10" t="s">
        <v>112</v>
      </c>
      <c r="F10" s="11">
        <v>45338</v>
      </c>
      <c r="G10" s="10" t="s">
        <v>114</v>
      </c>
      <c r="H10" s="10">
        <v>11607</v>
      </c>
      <c r="I10" s="10" t="s">
        <v>120</v>
      </c>
    </row>
    <row r="11" spans="1:9" x14ac:dyDescent="0.25">
      <c r="A11" s="10" t="s">
        <v>18</v>
      </c>
      <c r="B11" s="10" t="s">
        <v>68</v>
      </c>
      <c r="C11" s="10">
        <v>62370</v>
      </c>
      <c r="D11" s="10">
        <v>1989</v>
      </c>
      <c r="E11" s="10" t="s">
        <v>111</v>
      </c>
      <c r="F11" s="11">
        <v>45308</v>
      </c>
      <c r="G11" s="10" t="s">
        <v>116</v>
      </c>
      <c r="H11" s="10">
        <v>7834</v>
      </c>
      <c r="I11" s="10" t="s">
        <v>119</v>
      </c>
    </row>
    <row r="12" spans="1:9" x14ac:dyDescent="0.25">
      <c r="A12" s="10" t="s">
        <v>19</v>
      </c>
      <c r="B12" s="10" t="s">
        <v>69</v>
      </c>
      <c r="C12" s="10">
        <v>59131</v>
      </c>
      <c r="D12" s="10">
        <v>3925</v>
      </c>
      <c r="E12" s="10" t="s">
        <v>109</v>
      </c>
      <c r="F12" s="11">
        <v>45357</v>
      </c>
      <c r="G12" s="10" t="s">
        <v>113</v>
      </c>
      <c r="H12" s="10">
        <v>11341</v>
      </c>
      <c r="I12" s="10" t="s">
        <v>118</v>
      </c>
    </row>
    <row r="13" spans="1:9" x14ac:dyDescent="0.25">
      <c r="A13" s="10" t="s">
        <v>20</v>
      </c>
      <c r="B13" s="10" t="s">
        <v>70</v>
      </c>
      <c r="C13" s="10">
        <v>60108</v>
      </c>
      <c r="D13" s="10">
        <v>4767</v>
      </c>
      <c r="E13" s="10" t="s">
        <v>109</v>
      </c>
      <c r="F13" s="11">
        <v>45396</v>
      </c>
      <c r="G13" s="10" t="s">
        <v>117</v>
      </c>
      <c r="H13" s="10">
        <v>9404</v>
      </c>
      <c r="I13" s="10" t="s">
        <v>119</v>
      </c>
    </row>
    <row r="14" spans="1:9" x14ac:dyDescent="0.25">
      <c r="A14" s="10" t="s">
        <v>21</v>
      </c>
      <c r="B14" s="10" t="s">
        <v>71</v>
      </c>
      <c r="C14" s="10">
        <v>41334</v>
      </c>
      <c r="D14" s="10">
        <v>4829</v>
      </c>
      <c r="E14" s="10" t="s">
        <v>112</v>
      </c>
      <c r="F14" s="11">
        <v>45462</v>
      </c>
      <c r="G14" s="10" t="s">
        <v>114</v>
      </c>
      <c r="H14" s="10">
        <v>7647</v>
      </c>
      <c r="I14" s="10" t="s">
        <v>118</v>
      </c>
    </row>
    <row r="15" spans="1:9" x14ac:dyDescent="0.25">
      <c r="A15" s="10" t="s">
        <v>22</v>
      </c>
      <c r="B15" s="10" t="s">
        <v>72</v>
      </c>
      <c r="C15" s="10">
        <v>92978</v>
      </c>
      <c r="D15" s="10">
        <v>2344</v>
      </c>
      <c r="E15" s="10" t="s">
        <v>109</v>
      </c>
      <c r="F15" s="11">
        <v>45368</v>
      </c>
      <c r="G15" s="10" t="s">
        <v>114</v>
      </c>
      <c r="H15" s="10">
        <v>5458</v>
      </c>
      <c r="I15" s="10" t="s">
        <v>119</v>
      </c>
    </row>
    <row r="16" spans="1:9" x14ac:dyDescent="0.25">
      <c r="A16" s="10" t="s">
        <v>23</v>
      </c>
      <c r="B16" s="10" t="s">
        <v>73</v>
      </c>
      <c r="C16" s="10">
        <v>94001</v>
      </c>
      <c r="D16" s="10">
        <v>3979</v>
      </c>
      <c r="E16" s="10" t="s">
        <v>109</v>
      </c>
      <c r="F16" s="11">
        <v>45341</v>
      </c>
      <c r="G16" s="10" t="s">
        <v>117</v>
      </c>
      <c r="H16" s="10">
        <v>17631</v>
      </c>
      <c r="I16" s="10" t="s">
        <v>120</v>
      </c>
    </row>
    <row r="17" spans="1:9" x14ac:dyDescent="0.25">
      <c r="A17" s="10" t="s">
        <v>24</v>
      </c>
      <c r="B17" s="10" t="s">
        <v>74</v>
      </c>
      <c r="C17" s="10">
        <v>63801</v>
      </c>
      <c r="D17" s="10">
        <v>3196</v>
      </c>
      <c r="E17" s="10" t="s">
        <v>112</v>
      </c>
      <c r="F17" s="11">
        <v>45407</v>
      </c>
      <c r="G17" s="10" t="s">
        <v>115</v>
      </c>
      <c r="H17" s="10">
        <v>3314</v>
      </c>
      <c r="I17" s="10" t="s">
        <v>120</v>
      </c>
    </row>
    <row r="18" spans="1:9" x14ac:dyDescent="0.25">
      <c r="A18" s="10" t="s">
        <v>25</v>
      </c>
      <c r="B18" s="10" t="s">
        <v>75</v>
      </c>
      <c r="C18" s="10">
        <v>55444</v>
      </c>
      <c r="D18" s="10">
        <v>2087</v>
      </c>
      <c r="E18" s="10" t="s">
        <v>109</v>
      </c>
      <c r="F18" s="11">
        <v>45311</v>
      </c>
      <c r="G18" s="10" t="s">
        <v>114</v>
      </c>
      <c r="H18" s="10">
        <v>11069</v>
      </c>
      <c r="I18" s="10" t="s">
        <v>118</v>
      </c>
    </row>
    <row r="19" spans="1:9" x14ac:dyDescent="0.25">
      <c r="A19" s="10" t="s">
        <v>26</v>
      </c>
      <c r="B19" s="10" t="s">
        <v>76</v>
      </c>
      <c r="C19" s="10">
        <v>65473</v>
      </c>
      <c r="D19" s="10">
        <v>2283</v>
      </c>
      <c r="E19" s="10" t="s">
        <v>112</v>
      </c>
      <c r="F19" s="11">
        <v>45396</v>
      </c>
      <c r="G19" s="10" t="s">
        <v>117</v>
      </c>
      <c r="H19" s="10">
        <v>8158</v>
      </c>
      <c r="I19" s="10" t="s">
        <v>119</v>
      </c>
    </row>
    <row r="20" spans="1:9" x14ac:dyDescent="0.25">
      <c r="A20" s="10" t="s">
        <v>27</v>
      </c>
      <c r="B20" s="10" t="s">
        <v>77</v>
      </c>
      <c r="C20" s="10">
        <v>94441</v>
      </c>
      <c r="D20" s="10">
        <v>2951</v>
      </c>
      <c r="E20" s="10" t="s">
        <v>109</v>
      </c>
      <c r="F20" s="11">
        <v>45309</v>
      </c>
      <c r="G20" s="10" t="s">
        <v>115</v>
      </c>
      <c r="H20" s="10">
        <v>18016</v>
      </c>
      <c r="I20" s="10" t="s">
        <v>119</v>
      </c>
    </row>
    <row r="21" spans="1:9" x14ac:dyDescent="0.25">
      <c r="A21" s="10" t="s">
        <v>28</v>
      </c>
      <c r="B21" s="10" t="s">
        <v>78</v>
      </c>
      <c r="C21" s="10">
        <v>37918</v>
      </c>
      <c r="D21" s="10">
        <v>4056</v>
      </c>
      <c r="E21" s="10" t="s">
        <v>110</v>
      </c>
      <c r="F21" s="11">
        <v>45312</v>
      </c>
      <c r="G21" s="10" t="s">
        <v>117</v>
      </c>
      <c r="H21" s="10">
        <v>7370</v>
      </c>
      <c r="I21" s="10" t="s">
        <v>120</v>
      </c>
    </row>
    <row r="22" spans="1:9" x14ac:dyDescent="0.25">
      <c r="A22" s="10" t="s">
        <v>29</v>
      </c>
      <c r="B22" s="10" t="s">
        <v>79</v>
      </c>
      <c r="C22" s="10">
        <v>63871</v>
      </c>
      <c r="D22" s="10"/>
      <c r="E22" s="10"/>
      <c r="F22" s="11">
        <v>45388</v>
      </c>
      <c r="G22" s="10" t="s">
        <v>113</v>
      </c>
      <c r="H22" s="10">
        <v>11601</v>
      </c>
      <c r="I22" s="10" t="s">
        <v>119</v>
      </c>
    </row>
    <row r="23" spans="1:9" x14ac:dyDescent="0.25">
      <c r="A23" s="10" t="s">
        <v>30</v>
      </c>
      <c r="B23" s="10" t="s">
        <v>80</v>
      </c>
      <c r="C23" s="10">
        <v>82445</v>
      </c>
      <c r="D23" s="10">
        <v>1242</v>
      </c>
      <c r="E23" s="10" t="s">
        <v>110</v>
      </c>
      <c r="F23" s="11">
        <v>45298</v>
      </c>
      <c r="G23" s="10" t="s">
        <v>113</v>
      </c>
      <c r="H23" s="10">
        <v>5632</v>
      </c>
      <c r="I23" s="10" t="s">
        <v>119</v>
      </c>
    </row>
    <row r="24" spans="1:9" x14ac:dyDescent="0.25">
      <c r="A24" s="10" t="s">
        <v>31</v>
      </c>
      <c r="B24" s="10" t="s">
        <v>81</v>
      </c>
      <c r="C24" s="10">
        <v>51260</v>
      </c>
      <c r="D24" s="10">
        <v>3164</v>
      </c>
      <c r="E24" s="10" t="s">
        <v>110</v>
      </c>
      <c r="F24" s="11">
        <v>45421</v>
      </c>
      <c r="G24" s="10" t="s">
        <v>113</v>
      </c>
      <c r="H24" s="10">
        <v>7605</v>
      </c>
      <c r="I24" s="10" t="s">
        <v>120</v>
      </c>
    </row>
    <row r="25" spans="1:9" x14ac:dyDescent="0.25">
      <c r="A25" s="10" t="s">
        <v>32</v>
      </c>
      <c r="B25" s="10" t="s">
        <v>82</v>
      </c>
      <c r="C25" s="10">
        <v>48836</v>
      </c>
      <c r="D25" s="10">
        <v>4758</v>
      </c>
      <c r="E25" s="10" t="s">
        <v>109</v>
      </c>
      <c r="F25" s="11">
        <v>45450</v>
      </c>
      <c r="G25" s="10" t="s">
        <v>115</v>
      </c>
      <c r="H25" s="10">
        <v>2925</v>
      </c>
      <c r="I25" s="10" t="s">
        <v>119</v>
      </c>
    </row>
    <row r="26" spans="1:9" x14ac:dyDescent="0.25">
      <c r="A26" s="10" t="s">
        <v>33</v>
      </c>
      <c r="B26" s="10" t="s">
        <v>83</v>
      </c>
      <c r="C26" s="10">
        <v>36562</v>
      </c>
      <c r="D26" s="10"/>
      <c r="E26" s="10" t="s">
        <v>110</v>
      </c>
      <c r="F26" s="11">
        <v>45442</v>
      </c>
      <c r="G26" s="10" t="s">
        <v>115</v>
      </c>
      <c r="H26" s="10">
        <v>4537</v>
      </c>
      <c r="I26" s="10" t="s">
        <v>118</v>
      </c>
    </row>
    <row r="27" spans="1:9" x14ac:dyDescent="0.25">
      <c r="A27" s="10" t="s">
        <v>34</v>
      </c>
      <c r="B27" s="10" t="s">
        <v>84</v>
      </c>
      <c r="C27" s="10">
        <v>97114</v>
      </c>
      <c r="D27" s="10">
        <v>2560</v>
      </c>
      <c r="E27" s="10" t="s">
        <v>109</v>
      </c>
      <c r="F27" s="11">
        <v>45361</v>
      </c>
      <c r="G27" s="10" t="s">
        <v>113</v>
      </c>
      <c r="H27" s="10">
        <v>8278</v>
      </c>
      <c r="I27" s="10" t="s">
        <v>118</v>
      </c>
    </row>
    <row r="28" spans="1:9" x14ac:dyDescent="0.25">
      <c r="A28" s="10" t="s">
        <v>35</v>
      </c>
      <c r="B28" s="10" t="s">
        <v>85</v>
      </c>
      <c r="C28" s="10">
        <v>48424</v>
      </c>
      <c r="D28" s="10">
        <v>2737</v>
      </c>
      <c r="E28" s="10" t="s">
        <v>112</v>
      </c>
      <c r="F28" s="11">
        <v>45433</v>
      </c>
      <c r="G28" s="10" t="s">
        <v>114</v>
      </c>
      <c r="H28" s="10">
        <v>6789</v>
      </c>
      <c r="I28" s="10" t="s">
        <v>118</v>
      </c>
    </row>
    <row r="29" spans="1:9" x14ac:dyDescent="0.25">
      <c r="A29" s="10" t="s">
        <v>36</v>
      </c>
      <c r="B29" s="10" t="s">
        <v>86</v>
      </c>
      <c r="C29" s="10">
        <v>50262</v>
      </c>
      <c r="D29" s="10">
        <v>776</v>
      </c>
      <c r="E29" s="10" t="s">
        <v>109</v>
      </c>
      <c r="F29" s="11">
        <v>45457</v>
      </c>
      <c r="G29" s="10" t="s">
        <v>117</v>
      </c>
      <c r="H29" s="10">
        <v>6750</v>
      </c>
      <c r="I29" s="10" t="s">
        <v>119</v>
      </c>
    </row>
    <row r="30" spans="1:9" x14ac:dyDescent="0.25">
      <c r="A30" s="10" t="s">
        <v>37</v>
      </c>
      <c r="B30" s="10" t="s">
        <v>87</v>
      </c>
      <c r="C30" s="10">
        <v>69074</v>
      </c>
      <c r="D30" s="10">
        <v>2843</v>
      </c>
      <c r="E30" s="10" t="s">
        <v>111</v>
      </c>
      <c r="F30" s="11">
        <v>45393</v>
      </c>
      <c r="G30" s="10" t="s">
        <v>114</v>
      </c>
      <c r="H30" s="10">
        <v>3835</v>
      </c>
      <c r="I30" s="10" t="s">
        <v>120</v>
      </c>
    </row>
    <row r="31" spans="1:9" x14ac:dyDescent="0.25">
      <c r="A31" s="10" t="s">
        <v>38</v>
      </c>
      <c r="B31" s="10" t="s">
        <v>88</v>
      </c>
      <c r="C31" s="10">
        <v>30599</v>
      </c>
      <c r="D31" s="10">
        <v>2853</v>
      </c>
      <c r="E31" s="10" t="s">
        <v>109</v>
      </c>
      <c r="F31" s="11">
        <v>45411</v>
      </c>
      <c r="G31" s="10" t="s">
        <v>113</v>
      </c>
      <c r="H31" s="10">
        <v>2012</v>
      </c>
      <c r="I31" s="10" t="s">
        <v>120</v>
      </c>
    </row>
    <row r="32" spans="1:9" x14ac:dyDescent="0.25">
      <c r="A32" s="10" t="s">
        <v>39</v>
      </c>
      <c r="B32" s="10" t="s">
        <v>89</v>
      </c>
      <c r="C32" s="10">
        <v>52160</v>
      </c>
      <c r="D32" s="10">
        <v>4379</v>
      </c>
      <c r="E32" s="10" t="s">
        <v>111</v>
      </c>
      <c r="F32" s="11">
        <v>45361</v>
      </c>
      <c r="G32" s="10" t="s">
        <v>113</v>
      </c>
      <c r="H32" s="10">
        <v>5511</v>
      </c>
      <c r="I32" s="10" t="s">
        <v>120</v>
      </c>
    </row>
    <row r="33" spans="1:9" x14ac:dyDescent="0.25">
      <c r="A33" s="10" t="s">
        <v>40</v>
      </c>
      <c r="B33" s="10" t="s">
        <v>90</v>
      </c>
      <c r="C33" s="10">
        <v>76626</v>
      </c>
      <c r="D33" s="10">
        <v>3347</v>
      </c>
      <c r="E33" s="10" t="s">
        <v>111</v>
      </c>
      <c r="F33" s="11">
        <v>45457</v>
      </c>
      <c r="G33" s="10" t="s">
        <v>113</v>
      </c>
      <c r="H33" s="10">
        <v>4806</v>
      </c>
      <c r="I33" s="10" t="s">
        <v>118</v>
      </c>
    </row>
    <row r="34" spans="1:9" x14ac:dyDescent="0.25">
      <c r="A34" s="10" t="s">
        <v>41</v>
      </c>
      <c r="B34" s="10" t="s">
        <v>91</v>
      </c>
      <c r="C34" s="10">
        <v>31906</v>
      </c>
      <c r="D34" s="10">
        <v>1394</v>
      </c>
      <c r="E34" s="10" t="s">
        <v>110</v>
      </c>
      <c r="F34" s="11">
        <v>45310</v>
      </c>
      <c r="G34" s="10" t="s">
        <v>113</v>
      </c>
      <c r="H34" s="10">
        <v>2424</v>
      </c>
      <c r="I34" s="10" t="s">
        <v>120</v>
      </c>
    </row>
    <row r="35" spans="1:9" x14ac:dyDescent="0.25">
      <c r="A35" s="10" t="s">
        <v>42</v>
      </c>
      <c r="B35" s="10" t="s">
        <v>92</v>
      </c>
      <c r="C35" s="10">
        <v>82290</v>
      </c>
      <c r="D35" s="10"/>
      <c r="E35" s="10" t="s">
        <v>112</v>
      </c>
      <c r="F35" s="11">
        <v>45333</v>
      </c>
      <c r="G35" s="10" t="s">
        <v>116</v>
      </c>
      <c r="H35" s="10">
        <v>5412</v>
      </c>
      <c r="I35" s="10" t="s">
        <v>119</v>
      </c>
    </row>
    <row r="36" spans="1:9" x14ac:dyDescent="0.25">
      <c r="A36" s="10" t="s">
        <v>43</v>
      </c>
      <c r="B36" s="10" t="s">
        <v>93</v>
      </c>
      <c r="C36" s="10">
        <v>59002</v>
      </c>
      <c r="D36" s="10">
        <v>3737</v>
      </c>
      <c r="E36" s="10" t="s">
        <v>111</v>
      </c>
      <c r="F36" s="11">
        <v>45431</v>
      </c>
      <c r="G36" s="10" t="s">
        <v>117</v>
      </c>
      <c r="H36" s="10">
        <v>3760</v>
      </c>
      <c r="I36" s="10" t="s">
        <v>119</v>
      </c>
    </row>
    <row r="37" spans="1:9" x14ac:dyDescent="0.25">
      <c r="A37" s="10" t="s">
        <v>44</v>
      </c>
      <c r="B37" s="10" t="s">
        <v>94</v>
      </c>
      <c r="C37" s="10">
        <v>35929</v>
      </c>
      <c r="D37" s="10">
        <v>1854</v>
      </c>
      <c r="E37" s="10" t="s">
        <v>109</v>
      </c>
      <c r="F37" s="11">
        <v>45365</v>
      </c>
      <c r="G37" s="10" t="s">
        <v>116</v>
      </c>
      <c r="H37" s="10">
        <v>3753</v>
      </c>
      <c r="I37" s="10" t="s">
        <v>119</v>
      </c>
    </row>
    <row r="38" spans="1:9" x14ac:dyDescent="0.25">
      <c r="A38" s="10" t="s">
        <v>45</v>
      </c>
      <c r="B38" s="10" t="s">
        <v>95</v>
      </c>
      <c r="C38" s="10">
        <v>44553</v>
      </c>
      <c r="D38" s="10">
        <v>3572</v>
      </c>
      <c r="E38" s="10" t="s">
        <v>109</v>
      </c>
      <c r="F38" s="11">
        <v>45454</v>
      </c>
      <c r="G38" s="10" t="s">
        <v>114</v>
      </c>
      <c r="H38" s="10">
        <v>7559</v>
      </c>
      <c r="I38" s="10" t="s">
        <v>119</v>
      </c>
    </row>
    <row r="39" spans="1:9" x14ac:dyDescent="0.25">
      <c r="A39" s="10" t="s">
        <v>46</v>
      </c>
      <c r="B39" s="10" t="s">
        <v>96</v>
      </c>
      <c r="C39" s="10">
        <v>45414</v>
      </c>
      <c r="D39" s="10">
        <v>677</v>
      </c>
      <c r="E39" s="10" t="s">
        <v>111</v>
      </c>
      <c r="F39" s="11">
        <v>45324</v>
      </c>
      <c r="G39" s="10" t="s">
        <v>116</v>
      </c>
      <c r="H39" s="10">
        <v>5510</v>
      </c>
      <c r="I39" s="10" t="s">
        <v>120</v>
      </c>
    </row>
    <row r="40" spans="1:9" x14ac:dyDescent="0.25">
      <c r="A40" s="10" t="s">
        <v>47</v>
      </c>
      <c r="B40" s="10" t="s">
        <v>97</v>
      </c>
      <c r="C40" s="10">
        <v>70175</v>
      </c>
      <c r="D40" s="10">
        <v>1857</v>
      </c>
      <c r="E40" s="10" t="s">
        <v>109</v>
      </c>
      <c r="F40" s="11">
        <v>45408</v>
      </c>
      <c r="G40" s="10" t="s">
        <v>116</v>
      </c>
      <c r="H40" s="10">
        <v>8114</v>
      </c>
      <c r="I40" s="10" t="s">
        <v>119</v>
      </c>
    </row>
    <row r="41" spans="1:9" x14ac:dyDescent="0.25">
      <c r="A41" s="10" t="s">
        <v>48</v>
      </c>
      <c r="B41" s="10" t="s">
        <v>98</v>
      </c>
      <c r="C41" s="10">
        <v>60936</v>
      </c>
      <c r="D41" s="10">
        <v>510</v>
      </c>
      <c r="E41" s="10" t="s">
        <v>110</v>
      </c>
      <c r="F41" s="11">
        <v>45434</v>
      </c>
      <c r="G41" s="10" t="s">
        <v>113</v>
      </c>
      <c r="H41" s="10">
        <v>7449</v>
      </c>
      <c r="I41" s="10" t="s">
        <v>120</v>
      </c>
    </row>
    <row r="42" spans="1:9" x14ac:dyDescent="0.25">
      <c r="A42" s="10" t="s">
        <v>49</v>
      </c>
      <c r="B42" s="10" t="s">
        <v>99</v>
      </c>
      <c r="C42" s="10">
        <v>68004</v>
      </c>
      <c r="D42" s="10">
        <v>812</v>
      </c>
      <c r="E42" s="10"/>
      <c r="F42" s="11">
        <v>45326</v>
      </c>
      <c r="G42" s="10" t="s">
        <v>115</v>
      </c>
      <c r="H42" s="10">
        <v>9682</v>
      </c>
      <c r="I42" s="10" t="s">
        <v>118</v>
      </c>
    </row>
    <row r="43" spans="1:9" x14ac:dyDescent="0.25">
      <c r="A43" s="10" t="s">
        <v>50</v>
      </c>
      <c r="B43" s="10" t="s">
        <v>100</v>
      </c>
      <c r="C43" s="10">
        <v>89312</v>
      </c>
      <c r="D43" s="10">
        <v>812</v>
      </c>
      <c r="E43" s="10" t="s">
        <v>112</v>
      </c>
      <c r="F43" s="11">
        <v>45301</v>
      </c>
      <c r="G43" s="10" t="s">
        <v>117</v>
      </c>
      <c r="H43" s="10">
        <v>14471</v>
      </c>
      <c r="I43" s="10" t="s">
        <v>119</v>
      </c>
    </row>
    <row r="44" spans="1:9" x14ac:dyDescent="0.25">
      <c r="A44" s="10" t="s">
        <v>51</v>
      </c>
      <c r="B44" s="10" t="s">
        <v>101</v>
      </c>
      <c r="C44" s="10">
        <v>33133</v>
      </c>
      <c r="D44" s="10"/>
      <c r="E44" s="10" t="s">
        <v>110</v>
      </c>
      <c r="F44" s="11">
        <v>45298</v>
      </c>
      <c r="G44" s="10" t="s">
        <v>114</v>
      </c>
      <c r="H44" s="10">
        <v>2120</v>
      </c>
      <c r="I44" s="10" t="s">
        <v>119</v>
      </c>
    </row>
    <row r="45" spans="1:9" x14ac:dyDescent="0.25">
      <c r="A45" s="10" t="s">
        <v>52</v>
      </c>
      <c r="B45" s="10" t="s">
        <v>102</v>
      </c>
      <c r="C45" s="10">
        <v>71381</v>
      </c>
      <c r="D45" s="10">
        <v>4398</v>
      </c>
      <c r="E45" s="10" t="s">
        <v>111</v>
      </c>
      <c r="F45" s="11">
        <v>45348</v>
      </c>
      <c r="G45" s="10" t="s">
        <v>114</v>
      </c>
      <c r="H45" s="10">
        <v>13103</v>
      </c>
      <c r="I45" s="10" t="s">
        <v>119</v>
      </c>
    </row>
    <row r="46" spans="1:9" x14ac:dyDescent="0.25">
      <c r="A46" s="10" t="s">
        <v>53</v>
      </c>
      <c r="B46" s="10" t="s">
        <v>103</v>
      </c>
      <c r="C46" s="10">
        <v>56743</v>
      </c>
      <c r="D46" s="10">
        <v>981</v>
      </c>
      <c r="E46" s="10" t="s">
        <v>110</v>
      </c>
      <c r="F46" s="11">
        <v>45462</v>
      </c>
      <c r="G46" s="10" t="s">
        <v>117</v>
      </c>
      <c r="H46" s="10">
        <v>3262</v>
      </c>
      <c r="I46" s="10" t="s">
        <v>118</v>
      </c>
    </row>
    <row r="47" spans="1:9" x14ac:dyDescent="0.25">
      <c r="A47" s="10" t="s">
        <v>54</v>
      </c>
      <c r="B47" s="10" t="s">
        <v>104</v>
      </c>
      <c r="C47" s="10">
        <v>79024</v>
      </c>
      <c r="D47" s="10">
        <v>4728</v>
      </c>
      <c r="E47" s="10" t="s">
        <v>111</v>
      </c>
      <c r="F47" s="11">
        <v>45408</v>
      </c>
      <c r="G47" s="10" t="s">
        <v>116</v>
      </c>
      <c r="H47" s="10">
        <v>8757</v>
      </c>
      <c r="I47" s="10" t="s">
        <v>120</v>
      </c>
    </row>
    <row r="48" spans="1:9" x14ac:dyDescent="0.25">
      <c r="A48" s="10" t="s">
        <v>55</v>
      </c>
      <c r="B48" s="10" t="s">
        <v>105</v>
      </c>
      <c r="C48" s="10">
        <v>67301</v>
      </c>
      <c r="D48" s="10">
        <v>1028</v>
      </c>
      <c r="E48" s="10" t="s">
        <v>110</v>
      </c>
      <c r="F48" s="11">
        <v>45412</v>
      </c>
      <c r="G48" s="10" t="s">
        <v>114</v>
      </c>
      <c r="H48" s="10">
        <v>5482</v>
      </c>
      <c r="I48" s="10" t="s">
        <v>119</v>
      </c>
    </row>
    <row r="49" spans="1:9" x14ac:dyDescent="0.25">
      <c r="A49" s="10" t="s">
        <v>56</v>
      </c>
      <c r="B49" s="10" t="s">
        <v>106</v>
      </c>
      <c r="C49" s="10">
        <v>94135</v>
      </c>
      <c r="D49" s="10"/>
      <c r="E49" s="10" t="s">
        <v>109</v>
      </c>
      <c r="F49" s="11">
        <v>45309</v>
      </c>
      <c r="G49" s="10" t="s">
        <v>115</v>
      </c>
      <c r="H49" s="10">
        <v>14667</v>
      </c>
      <c r="I49" s="10" t="s">
        <v>120</v>
      </c>
    </row>
    <row r="50" spans="1:9" x14ac:dyDescent="0.25">
      <c r="A50" s="10" t="s">
        <v>57</v>
      </c>
      <c r="B50" s="10" t="s">
        <v>107</v>
      </c>
      <c r="C50" s="10">
        <v>70641</v>
      </c>
      <c r="D50" s="10">
        <v>4376</v>
      </c>
      <c r="E50" s="10" t="s">
        <v>111</v>
      </c>
      <c r="F50" s="11">
        <v>45424</v>
      </c>
      <c r="G50" s="10" t="s">
        <v>117</v>
      </c>
      <c r="H50" s="10">
        <v>4653</v>
      </c>
      <c r="I50" s="10" t="s">
        <v>118</v>
      </c>
    </row>
    <row r="51" spans="1:9" x14ac:dyDescent="0.25">
      <c r="A51" s="10" t="s">
        <v>58</v>
      </c>
      <c r="B51" s="10" t="s">
        <v>108</v>
      </c>
      <c r="C51" s="10">
        <v>62447</v>
      </c>
      <c r="D51" s="10">
        <v>773</v>
      </c>
      <c r="E51" s="10" t="s">
        <v>112</v>
      </c>
      <c r="F51" s="11">
        <v>45446</v>
      </c>
      <c r="G51" s="10" t="s">
        <v>115</v>
      </c>
      <c r="H51" s="10">
        <v>3257</v>
      </c>
      <c r="I51" s="10" t="s">
        <v>119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Akhtar Khizar</dc:creator>
  <cp:lastModifiedBy>Akhtar Khizar</cp:lastModifiedBy>
  <dcterms:created xsi:type="dcterms:W3CDTF">2025-07-14T16:09:22Z</dcterms:created>
  <dcterms:modified xsi:type="dcterms:W3CDTF">2025-07-15T08:25:25Z</dcterms:modified>
</cp:coreProperties>
</file>